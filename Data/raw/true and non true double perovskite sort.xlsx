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rox true double perovskite" sheetId="1" state="visible" r:id="rId3"/>
    <sheet name="nontrue double perovskite" sheetId="2" state="visible" r:id="rId4"/>
    <sheet name="Metallic_Radius_Table" sheetId="3" state="visible" r:id="rId5"/>
  </sheets>
  <definedNames>
    <definedName function="false" hidden="true" localSheetId="0" name="_xlnm._FilterDatabase" vbProcedure="false">'approx true double perovskite'!$A$1:$L$417</definedName>
    <definedName function="false" hidden="true" localSheetId="1" name="_xlnm._FilterDatabase" vbProcedure="false">'nontrue double perovskite'!$A$1:$L$145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<sst xmlns="http://schemas.openxmlformats.org/spreadsheetml/2006/main" count="2322" uniqueCount="1249">
  <si>
    <t xml:space="preserve">Material ID</t>
  </si>
  <si>
    <t xml:space="preserve">Formula</t>
  </si>
  <si>
    <t xml:space="preserve">B-site metals</t>
  </si>
  <si>
    <t xml:space="preserve">Formation Energy (eV/atom)</t>
  </si>
  <si>
    <t xml:space="preserve">Energy Above Hull (eV)</t>
  </si>
  <si>
    <t xml:space="preserve">Band Gap (eV)</t>
  </si>
  <si>
    <t xml:space="preserve">Total Magnetization (Î¼B)</t>
  </si>
  <si>
    <t xml:space="preserve">Space Group</t>
  </si>
  <si>
    <t xml:space="preserve">Keep?</t>
  </si>
  <si>
    <t xml:space="preserve">element1</t>
  </si>
  <si>
    <t xml:space="preserve">metallic radius1</t>
  </si>
  <si>
    <t xml:space="preserve">element2</t>
  </si>
  <si>
    <t xml:space="preserve">metallic radius 2</t>
  </si>
  <si>
    <t xml:space="preserve">element3</t>
  </si>
  <si>
    <t xml:space="preserve">metallic radius 3</t>
  </si>
  <si>
    <t xml:space="preserve">element4</t>
  </si>
  <si>
    <t xml:space="preserve">metallic radius4</t>
  </si>
  <si>
    <t xml:space="preserve">Magnetic State (inferred)</t>
  </si>
  <si>
    <t xml:space="preserve">Magnetic Transition (FM–PM / AFM–PM)</t>
  </si>
  <si>
    <t xml:space="preserve">mp-18967</t>
  </si>
  <si>
    <t xml:space="preserve">Ba2CoMoO6</t>
  </si>
  <si>
    <t xml:space="preserve">Co, Mo</t>
  </si>
  <si>
    <t xml:space="preserve">Fm-3m</t>
  </si>
  <si>
    <t xml:space="preserve">mp-561894</t>
  </si>
  <si>
    <t xml:space="preserve">I4/mmm</t>
  </si>
  <si>
    <t xml:space="preserve">mp-545792</t>
  </si>
  <si>
    <t xml:space="preserve">Ba2CoReO6</t>
  </si>
  <si>
    <t xml:space="preserve">Re, Co</t>
  </si>
  <si>
    <t xml:space="preserve">R-3m</t>
  </si>
  <si>
    <t xml:space="preserve">mp-1228653</t>
  </si>
  <si>
    <t xml:space="preserve">Ba2CoRuO6</t>
  </si>
  <si>
    <t xml:space="preserve">Co, Ru</t>
  </si>
  <si>
    <t xml:space="preserve">P3m1</t>
  </si>
  <si>
    <t xml:space="preserve">mp-1274542</t>
  </si>
  <si>
    <t xml:space="preserve">Ba2CoWO6</t>
  </si>
  <si>
    <t xml:space="preserve">Co, W</t>
  </si>
  <si>
    <t xml:space="preserve">mp-22112</t>
  </si>
  <si>
    <t xml:space="preserve">mp-1079901</t>
  </si>
  <si>
    <t xml:space="preserve">Ba2CrMoO6</t>
  </si>
  <si>
    <t xml:space="preserve">Cr, Mo</t>
  </si>
  <si>
    <t xml:space="preserve">mp-1277787</t>
  </si>
  <si>
    <t xml:space="preserve">Ba2FeMoO6</t>
  </si>
  <si>
    <t xml:space="preserve">Fe, Mo</t>
  </si>
  <si>
    <t xml:space="preserve">C2/m</t>
  </si>
  <si>
    <t xml:space="preserve">mp-1288525</t>
  </si>
  <si>
    <t xml:space="preserve">C2</t>
  </si>
  <si>
    <t xml:space="preserve">mp-1288978</t>
  </si>
  <si>
    <t xml:space="preserve">mp-18995</t>
  </si>
  <si>
    <t xml:space="preserve">mp-31756</t>
  </si>
  <si>
    <t xml:space="preserve">Ba2FeReO6</t>
  </si>
  <si>
    <t xml:space="preserve">Re, Fe</t>
  </si>
  <si>
    <t xml:space="preserve">mp-1272506</t>
  </si>
  <si>
    <t xml:space="preserve">Ba2FeWO6</t>
  </si>
  <si>
    <t xml:space="preserve">Fe, W</t>
  </si>
  <si>
    <t xml:space="preserve">P-1</t>
  </si>
  <si>
    <t xml:space="preserve">mp-18845</t>
  </si>
  <si>
    <t xml:space="preserve">mp-2217283</t>
  </si>
  <si>
    <t xml:space="preserve">Ba2MgFeMoO6</t>
  </si>
  <si>
    <t xml:space="preserve">P1</t>
  </si>
  <si>
    <t xml:space="preserve">mp-20399</t>
  </si>
  <si>
    <t xml:space="preserve">Ba2MnMoO6</t>
  </si>
  <si>
    <t xml:space="preserve">Mn, Mo</t>
  </si>
  <si>
    <t xml:space="preserve">mp-1228414</t>
  </si>
  <si>
    <t xml:space="preserve">Ba2MnNbO6</t>
  </si>
  <si>
    <t xml:space="preserve">Nb, Mn</t>
  </si>
  <si>
    <t xml:space="preserve">mp-1272179</t>
  </si>
  <si>
    <t xml:space="preserve">Pnma</t>
  </si>
  <si>
    <t xml:space="preserve">mp-1275240</t>
  </si>
  <si>
    <t xml:space="preserve">mp-1278519</t>
  </si>
  <si>
    <t xml:space="preserve">Imma</t>
  </si>
  <si>
    <t xml:space="preserve">mp-1278534</t>
  </si>
  <si>
    <t xml:space="preserve">mp-20813</t>
  </si>
  <si>
    <t xml:space="preserve">Ba2MnReO6</t>
  </si>
  <si>
    <t xml:space="preserve">Re, Mn</t>
  </si>
  <si>
    <t xml:space="preserve">mp-1228678</t>
  </si>
  <si>
    <t xml:space="preserve">Ba2MnRuO6</t>
  </si>
  <si>
    <t xml:space="preserve">Mn, Ru</t>
  </si>
  <si>
    <t xml:space="preserve">mp-19085</t>
  </si>
  <si>
    <t xml:space="preserve">Ba2MnWO6</t>
  </si>
  <si>
    <t xml:space="preserve">Mn, W</t>
  </si>
  <si>
    <t xml:space="preserve">mp-1228382</t>
  </si>
  <si>
    <t xml:space="preserve">Ba2NbCoO6</t>
  </si>
  <si>
    <t xml:space="preserve">Co, Nb</t>
  </si>
  <si>
    <t xml:space="preserve">mp-31627</t>
  </si>
  <si>
    <t xml:space="preserve">Ba2NbCrO6</t>
  </si>
  <si>
    <t xml:space="preserve">Cr, Nb</t>
  </si>
  <si>
    <t xml:space="preserve">P6_3/mmc</t>
  </si>
  <si>
    <t xml:space="preserve">mp-1021504</t>
  </si>
  <si>
    <t xml:space="preserve">Ba2NbFeO6</t>
  </si>
  <si>
    <t xml:space="preserve">Fe, Nb</t>
  </si>
  <si>
    <t xml:space="preserve">mp-1022733</t>
  </si>
  <si>
    <t xml:space="preserve">P-3m1</t>
  </si>
  <si>
    <t xml:space="preserve">mp-1022808</t>
  </si>
  <si>
    <t xml:space="preserve">mp-1205833</t>
  </si>
  <si>
    <t xml:space="preserve">Ba2NbRhO6</t>
  </si>
  <si>
    <t xml:space="preserve">Nb, Rh</t>
  </si>
  <si>
    <t xml:space="preserve">mp-1078969</t>
  </si>
  <si>
    <t xml:space="preserve">Ba2NbVO6</t>
  </si>
  <si>
    <t xml:space="preserve">Nb, V</t>
  </si>
  <si>
    <t xml:space="preserve">mp-1277332</t>
  </si>
  <si>
    <t xml:space="preserve">mp-552567</t>
  </si>
  <si>
    <t xml:space="preserve">Ba2NiMoO6</t>
  </si>
  <si>
    <t xml:space="preserve">Ni, Mo</t>
  </si>
  <si>
    <t xml:space="preserve">mp-1147774</t>
  </si>
  <si>
    <t xml:space="preserve">Ba2NiRuO6</t>
  </si>
  <si>
    <t xml:space="preserve">Ni, Ru</t>
  </si>
  <si>
    <t xml:space="preserve">mp-504723</t>
  </si>
  <si>
    <t xml:space="preserve">Ba2NiWO6</t>
  </si>
  <si>
    <t xml:space="preserve">Ni, W</t>
  </si>
  <si>
    <t xml:space="preserve">mp-1521698</t>
  </si>
  <si>
    <t xml:space="preserve">BaCaFeWO6</t>
  </si>
  <si>
    <t xml:space="preserve">F-43m</t>
  </si>
  <si>
    <t xml:space="preserve">mp-1521804</t>
  </si>
  <si>
    <t xml:space="preserve">BaCaHfNbO6</t>
  </si>
  <si>
    <t xml:space="preserve">Nb, Hf</t>
  </si>
  <si>
    <t xml:space="preserve">mp-1521252</t>
  </si>
  <si>
    <t xml:space="preserve">BaCaHfWO6</t>
  </si>
  <si>
    <t xml:space="preserve">Hf, W</t>
  </si>
  <si>
    <t xml:space="preserve">mp-1516790</t>
  </si>
  <si>
    <t xml:space="preserve">BaCaHfZrO6</t>
  </si>
  <si>
    <t xml:space="preserve">Zr, Hf</t>
  </si>
  <si>
    <t xml:space="preserve">mp-1516715</t>
  </si>
  <si>
    <t xml:space="preserve">BaCaMnWO6</t>
  </si>
  <si>
    <t xml:space="preserve">mp-1519910</t>
  </si>
  <si>
    <t xml:space="preserve">BaCaNbWO6</t>
  </si>
  <si>
    <t xml:space="preserve">Nb, W</t>
  </si>
  <si>
    <t xml:space="preserve">mp-1519061</t>
  </si>
  <si>
    <t xml:space="preserve">BaCaZrNbO6</t>
  </si>
  <si>
    <t xml:space="preserve">Zr, Nb</t>
  </si>
  <si>
    <t xml:space="preserve">mp-1519763</t>
  </si>
  <si>
    <t xml:space="preserve">BaCaZrWO6</t>
  </si>
  <si>
    <t xml:space="preserve">Zr, W</t>
  </si>
  <si>
    <t xml:space="preserve">mp-1519687</t>
  </si>
  <si>
    <t xml:space="preserve">BaCrInWO6</t>
  </si>
  <si>
    <t xml:space="preserve">Cr, W</t>
  </si>
  <si>
    <t xml:space="preserve">mp-1519016</t>
  </si>
  <si>
    <t xml:space="preserve">BaEuHfNbO6</t>
  </si>
  <si>
    <t xml:space="preserve">mp-1517277</t>
  </si>
  <si>
    <t xml:space="preserve">BaEuHfZrO6</t>
  </si>
  <si>
    <t xml:space="preserve">mp-1523280</t>
  </si>
  <si>
    <t xml:space="preserve">BaEuZrNbO6</t>
  </si>
  <si>
    <t xml:space="preserve">mp-1518724</t>
  </si>
  <si>
    <t xml:space="preserve">BaGdCrFeO6</t>
  </si>
  <si>
    <t xml:space="preserve">Cr, Fe</t>
  </si>
  <si>
    <t xml:space="preserve">mp-1516647</t>
  </si>
  <si>
    <t xml:space="preserve">BaHfNbInO6</t>
  </si>
  <si>
    <t xml:space="preserve">mp-1522487</t>
  </si>
  <si>
    <t xml:space="preserve">BaHfTiInO6</t>
  </si>
  <si>
    <t xml:space="preserve">Hf, Ti</t>
  </si>
  <si>
    <t xml:space="preserve">mp-1522067</t>
  </si>
  <si>
    <t xml:space="preserve">BaInFeWO6</t>
  </si>
  <si>
    <t xml:space="preserve">mp-1228112</t>
  </si>
  <si>
    <t xml:space="preserve">BaLaCoIrO6</t>
  </si>
  <si>
    <t xml:space="preserve">Ir, Co</t>
  </si>
  <si>
    <t xml:space="preserve">mp-1229299</t>
  </si>
  <si>
    <t xml:space="preserve">BaLaCrMoO6</t>
  </si>
  <si>
    <t xml:space="preserve">mp-40356</t>
  </si>
  <si>
    <t xml:space="preserve">BaLaMnMoO6</t>
  </si>
  <si>
    <t xml:space="preserve">mp-1227855</t>
  </si>
  <si>
    <t xml:space="preserve">BaLaMnRuO6</t>
  </si>
  <si>
    <t xml:space="preserve">mp-1272796</t>
  </si>
  <si>
    <t xml:space="preserve">Cm</t>
  </si>
  <si>
    <t xml:space="preserve">mp-690567</t>
  </si>
  <si>
    <t xml:space="preserve">Pc</t>
  </si>
  <si>
    <t xml:space="preserve">mp-1227851</t>
  </si>
  <si>
    <t xml:space="preserve">BaLaNbCrO6</t>
  </si>
  <si>
    <t xml:space="preserve">mp-622618</t>
  </si>
  <si>
    <t xml:space="preserve">BaLaNiRuO6</t>
  </si>
  <si>
    <t xml:space="preserve">Ru, Ni</t>
  </si>
  <si>
    <t xml:space="preserve">I-4</t>
  </si>
  <si>
    <t xml:space="preserve">mp-41283</t>
  </si>
  <si>
    <t xml:space="preserve">BaLaTaMnO6</t>
  </si>
  <si>
    <t xml:space="preserve">Mn, Ta</t>
  </si>
  <si>
    <t xml:space="preserve">mp-1227861</t>
  </si>
  <si>
    <t xml:space="preserve">BaLaTiCrO6</t>
  </si>
  <si>
    <t xml:space="preserve">Cr, Ti</t>
  </si>
  <si>
    <t xml:space="preserve">mp-39208</t>
  </si>
  <si>
    <t xml:space="preserve">Pmma</t>
  </si>
  <si>
    <t xml:space="preserve">mp-1227842</t>
  </si>
  <si>
    <t xml:space="preserve">BaLaTiFeO6</t>
  </si>
  <si>
    <t xml:space="preserve">Fe, Ti</t>
  </si>
  <si>
    <t xml:space="preserve">mp-1523111</t>
  </si>
  <si>
    <t xml:space="preserve">BaMnInWO6</t>
  </si>
  <si>
    <t xml:space="preserve">mp-1227835</t>
  </si>
  <si>
    <t xml:space="preserve">BaNaTiNbO6</t>
  </si>
  <si>
    <t xml:space="preserve">Nb, Ti</t>
  </si>
  <si>
    <t xml:space="preserve">mp-1519828</t>
  </si>
  <si>
    <t xml:space="preserve">BaNb2CrO6</t>
  </si>
  <si>
    <t xml:space="preserve">mp-1520199</t>
  </si>
  <si>
    <t xml:space="preserve">BaNbInWO6</t>
  </si>
  <si>
    <t xml:space="preserve">mp-1227838</t>
  </si>
  <si>
    <t xml:space="preserve">BaNdFeCoO6</t>
  </si>
  <si>
    <t xml:space="preserve">Fe, Co</t>
  </si>
  <si>
    <t xml:space="preserve">P4mm</t>
  </si>
  <si>
    <t xml:space="preserve">mp-1516816</t>
  </si>
  <si>
    <t xml:space="preserve">BaNdHfZrO6</t>
  </si>
  <si>
    <t xml:space="preserve">mp-1227874</t>
  </si>
  <si>
    <t xml:space="preserve">BaNdMnCoO6</t>
  </si>
  <si>
    <t xml:space="preserve">Mn, Co</t>
  </si>
  <si>
    <t xml:space="preserve">Cmm2</t>
  </si>
  <si>
    <t xml:space="preserve">mp-1227378</t>
  </si>
  <si>
    <t xml:space="preserve">BaTiMnBiO6</t>
  </si>
  <si>
    <t xml:space="preserve">Mn, Ti</t>
  </si>
  <si>
    <t xml:space="preserve">mp-1516399</t>
  </si>
  <si>
    <t xml:space="preserve">BaTiMnNbO6</t>
  </si>
  <si>
    <t xml:space="preserve">Mn, Nb, Ti</t>
  </si>
  <si>
    <t xml:space="preserve">Nb</t>
  </si>
  <si>
    <t xml:space="preserve">mp-1522797</t>
  </si>
  <si>
    <t xml:space="preserve">BaTiNbGaO6</t>
  </si>
  <si>
    <t xml:space="preserve">mp-1518364</t>
  </si>
  <si>
    <t xml:space="preserve">BaVInWO6</t>
  </si>
  <si>
    <t xml:space="preserve">V, W</t>
  </si>
  <si>
    <t xml:space="preserve">mp-1517252</t>
  </si>
  <si>
    <t xml:space="preserve">BaZrNbInO6</t>
  </si>
  <si>
    <t xml:space="preserve">mp-1517256</t>
  </si>
  <si>
    <t xml:space="preserve">BaZrTiInO6</t>
  </si>
  <si>
    <t xml:space="preserve">Zr, Ti</t>
  </si>
  <si>
    <t xml:space="preserve">mp-20286</t>
  </si>
  <si>
    <t xml:space="preserve">Ba2ReNiO6</t>
  </si>
  <si>
    <t xml:space="preserve">Re, Ni</t>
  </si>
  <si>
    <t xml:space="preserve">mp-1228308</t>
  </si>
  <si>
    <t xml:space="preserve">Ba2TaCoO6</t>
  </si>
  <si>
    <t xml:space="preserve">Co, Ta</t>
  </si>
  <si>
    <t xml:space="preserve">mp-31630</t>
  </si>
  <si>
    <t xml:space="preserve">Ba2TaCrO6</t>
  </si>
  <si>
    <t xml:space="preserve">Cr, Ta</t>
  </si>
  <si>
    <t xml:space="preserve">mp-1205671</t>
  </si>
  <si>
    <t xml:space="preserve">Ba2TaFeO6</t>
  </si>
  <si>
    <t xml:space="preserve">Fe, Ta</t>
  </si>
  <si>
    <t xml:space="preserve">mp-1228319</t>
  </si>
  <si>
    <t xml:space="preserve">Ba2TaMnO6</t>
  </si>
  <si>
    <t xml:space="preserve">Ta, Mn</t>
  </si>
  <si>
    <t xml:space="preserve">mp-1291775</t>
  </si>
  <si>
    <t xml:space="preserve">mp-1307944</t>
  </si>
  <si>
    <t xml:space="preserve">mp-1309882</t>
  </si>
  <si>
    <t xml:space="preserve">mp-1228536</t>
  </si>
  <si>
    <t xml:space="preserve">Ba2TiFeO6</t>
  </si>
  <si>
    <t xml:space="preserve">mp-1228358</t>
  </si>
  <si>
    <t xml:space="preserve">Ba2TiMnO6</t>
  </si>
  <si>
    <t xml:space="preserve">mp-1096782</t>
  </si>
  <si>
    <t xml:space="preserve">Ba2VFeO6</t>
  </si>
  <si>
    <t xml:space="preserve">Fe, V</t>
  </si>
  <si>
    <t xml:space="preserve">mp-1096783</t>
  </si>
  <si>
    <t xml:space="preserve">mp-1079477</t>
  </si>
  <si>
    <t xml:space="preserve">Ba2VMoO6</t>
  </si>
  <si>
    <t xml:space="preserve">V, Mo</t>
  </si>
  <si>
    <t xml:space="preserve">mp-15888</t>
  </si>
  <si>
    <t xml:space="preserve">Ba2YIrO6</t>
  </si>
  <si>
    <t xml:space="preserve">Ir, Y</t>
  </si>
  <si>
    <t xml:space="preserve">mp-6428</t>
  </si>
  <si>
    <t xml:space="preserve">Ba2YRuO6</t>
  </si>
  <si>
    <t xml:space="preserve">Ru, Y</t>
  </si>
  <si>
    <t xml:space="preserve">mp-1078457</t>
  </si>
  <si>
    <t xml:space="preserve">Ba2ZrTiO6</t>
  </si>
  <si>
    <t xml:space="preserve">mp-1228086</t>
  </si>
  <si>
    <t xml:space="preserve">Ba2ZrWO6</t>
  </si>
  <si>
    <t xml:space="preserve">mp-1523377</t>
  </si>
  <si>
    <t xml:space="preserve">CaHfNbInO6</t>
  </si>
  <si>
    <t xml:space="preserve">mp-1048899</t>
  </si>
  <si>
    <t xml:space="preserve">CaLaCrCoO6</t>
  </si>
  <si>
    <t xml:space="preserve">Cr, Co</t>
  </si>
  <si>
    <t xml:space="preserve">mp-1043895</t>
  </si>
  <si>
    <t xml:space="preserve">CaLaCrFeO6</t>
  </si>
  <si>
    <t xml:space="preserve">mp-1048863</t>
  </si>
  <si>
    <t xml:space="preserve">CaLaCrMoO6</t>
  </si>
  <si>
    <t xml:space="preserve">mp-1048901</t>
  </si>
  <si>
    <t xml:space="preserve">CaLaCrNiO6</t>
  </si>
  <si>
    <t xml:space="preserve">Cr, Ni</t>
  </si>
  <si>
    <t xml:space="preserve">mp-1048921</t>
  </si>
  <si>
    <t xml:space="preserve">CaLaCrWO6</t>
  </si>
  <si>
    <t xml:space="preserve">mp-1043894</t>
  </si>
  <si>
    <t xml:space="preserve">CaLaFeCoO6</t>
  </si>
  <si>
    <t xml:space="preserve">mp-1044000</t>
  </si>
  <si>
    <t xml:space="preserve">CaLaFeMoO6</t>
  </si>
  <si>
    <t xml:space="preserve">mp-1043874</t>
  </si>
  <si>
    <t xml:space="preserve">CaLaFeNiO6</t>
  </si>
  <si>
    <t xml:space="preserve">Fe, Ni</t>
  </si>
  <si>
    <t xml:space="preserve">mp-1638745</t>
  </si>
  <si>
    <t xml:space="preserve">mp-1044027</t>
  </si>
  <si>
    <t xml:space="preserve">CaLaFeWO6</t>
  </si>
  <si>
    <t xml:space="preserve">mp-1638691</t>
  </si>
  <si>
    <t xml:space="preserve">mp-1049271</t>
  </si>
  <si>
    <t xml:space="preserve">CaLaMnCrO6</t>
  </si>
  <si>
    <t xml:space="preserve">Cr, Mn</t>
  </si>
  <si>
    <t xml:space="preserve">mp-40066</t>
  </si>
  <si>
    <t xml:space="preserve">CaLaMnFeO6</t>
  </si>
  <si>
    <t xml:space="preserve">Fe, Mn</t>
  </si>
  <si>
    <t xml:space="preserve">mp-41963</t>
  </si>
  <si>
    <t xml:space="preserve">mp-684705</t>
  </si>
  <si>
    <t xml:space="preserve">CaLaMnMoO6</t>
  </si>
  <si>
    <t xml:space="preserve">mp-1227173</t>
  </si>
  <si>
    <t xml:space="preserve">CaLaMnNbO6</t>
  </si>
  <si>
    <t xml:space="preserve">Mn, Nb</t>
  </si>
  <si>
    <t xml:space="preserve">mp-694885</t>
  </si>
  <si>
    <t xml:space="preserve">mp-1227224</t>
  </si>
  <si>
    <t xml:space="preserve">CaLaNbCoO6</t>
  </si>
  <si>
    <t xml:space="preserve">Nb, Co</t>
  </si>
  <si>
    <t xml:space="preserve">mp-1040806</t>
  </si>
  <si>
    <t xml:space="preserve">CaLaTaCrO6</t>
  </si>
  <si>
    <t xml:space="preserve">mp-1043970</t>
  </si>
  <si>
    <t xml:space="preserve">CaLaTaFeO6</t>
  </si>
  <si>
    <t xml:space="preserve">mp-39159</t>
  </si>
  <si>
    <t xml:space="preserve">CaLaTiCrO6</t>
  </si>
  <si>
    <t xml:space="preserve">mp-1043825</t>
  </si>
  <si>
    <t xml:space="preserve">CaLaTiFeO6</t>
  </si>
  <si>
    <t xml:space="preserve">mp-40866</t>
  </si>
  <si>
    <t xml:space="preserve">CaLaTiMnO6</t>
  </si>
  <si>
    <t xml:space="preserve">mp-1048855</t>
  </si>
  <si>
    <t xml:space="preserve">CaLaVCrO6</t>
  </si>
  <si>
    <t xml:space="preserve">Cr, V</t>
  </si>
  <si>
    <t xml:space="preserve">mp-1043924</t>
  </si>
  <si>
    <t xml:space="preserve">CaLaVFeO6</t>
  </si>
  <si>
    <t xml:space="preserve">mp-1227087</t>
  </si>
  <si>
    <t xml:space="preserve">mp-684837</t>
  </si>
  <si>
    <t xml:space="preserve">mp-1227209</t>
  </si>
  <si>
    <t xml:space="preserve">CaMnFeBiO6</t>
  </si>
  <si>
    <t xml:space="preserve">mp-1342876</t>
  </si>
  <si>
    <t xml:space="preserve">CaMnIrO6</t>
  </si>
  <si>
    <t xml:space="preserve">Mn, Ir</t>
  </si>
  <si>
    <t xml:space="preserve">mp-1290713</t>
  </si>
  <si>
    <t xml:space="preserve">CaMnWO6</t>
  </si>
  <si>
    <t xml:space="preserve">mp-1519219</t>
  </si>
  <si>
    <t xml:space="preserve">CaNdHfFeO6</t>
  </si>
  <si>
    <t xml:space="preserve">Fe, Hf</t>
  </si>
  <si>
    <t xml:space="preserve">mp-1521542</t>
  </si>
  <si>
    <t xml:space="preserve">CaNdHfTiO6</t>
  </si>
  <si>
    <t xml:space="preserve">mp-41742</t>
  </si>
  <si>
    <t xml:space="preserve">CaNdTiMnO6</t>
  </si>
  <si>
    <t xml:space="preserve">mp-1522086</t>
  </si>
  <si>
    <t xml:space="preserve">CaNdZrCrO6</t>
  </si>
  <si>
    <t xml:space="preserve">Cr, Zr</t>
  </si>
  <si>
    <t xml:space="preserve">mp-1200872</t>
  </si>
  <si>
    <t xml:space="preserve">CaTi2FeO6</t>
  </si>
  <si>
    <t xml:space="preserve">P4_2/nmc</t>
  </si>
  <si>
    <t xml:space="preserve">mp-1194928</t>
  </si>
  <si>
    <t xml:space="preserve">CaTi2MnO6</t>
  </si>
  <si>
    <t xml:space="preserve">P4_2mc</t>
  </si>
  <si>
    <t xml:space="preserve">mp-1520239</t>
  </si>
  <si>
    <t xml:space="preserve">CaTiNbInO6</t>
  </si>
  <si>
    <t xml:space="preserve">mp-1517467</t>
  </si>
  <si>
    <t xml:space="preserve">CaZrNbInO6</t>
  </si>
  <si>
    <t xml:space="preserve">mp-1287594</t>
  </si>
  <si>
    <t xml:space="preserve">Ca2CoIrO6</t>
  </si>
  <si>
    <t xml:space="preserve">Co, Ir</t>
  </si>
  <si>
    <t xml:space="preserve">mp-1310548</t>
  </si>
  <si>
    <t xml:space="preserve">mp-1378169</t>
  </si>
  <si>
    <t xml:space="preserve">Ca2CoRhO6</t>
  </si>
  <si>
    <t xml:space="preserve">Co, Rh</t>
  </si>
  <si>
    <t xml:space="preserve">mp-1045281</t>
  </si>
  <si>
    <t xml:space="preserve">Ca2CoWO6</t>
  </si>
  <si>
    <t xml:space="preserve">mp-1398590</t>
  </si>
  <si>
    <t xml:space="preserve">mp-19161</t>
  </si>
  <si>
    <t xml:space="preserve">P2_1/c</t>
  </si>
  <si>
    <t xml:space="preserve">mp-1367307</t>
  </si>
  <si>
    <t xml:space="preserve">Ca2CrIrO6</t>
  </si>
  <si>
    <t xml:space="preserve">Ir, Cr</t>
  </si>
  <si>
    <t xml:space="preserve">mp-1045238</t>
  </si>
  <si>
    <t xml:space="preserve">Ca2CrWO6</t>
  </si>
  <si>
    <t xml:space="preserve">W, Cr</t>
  </si>
  <si>
    <t xml:space="preserve">mp-1272359</t>
  </si>
  <si>
    <t xml:space="preserve">mp-1282800</t>
  </si>
  <si>
    <t xml:space="preserve">mp-1445093</t>
  </si>
  <si>
    <t xml:space="preserve">mp-1306506</t>
  </si>
  <si>
    <t xml:space="preserve">Ca2FeIrO6</t>
  </si>
  <si>
    <t xml:space="preserve">Fe, Ir</t>
  </si>
  <si>
    <t xml:space="preserve">mp-18783</t>
  </si>
  <si>
    <t xml:space="preserve">Ca2FeMoO6</t>
  </si>
  <si>
    <t xml:space="preserve">mp-31763</t>
  </si>
  <si>
    <t xml:space="preserve">Ca2FeReO6</t>
  </si>
  <si>
    <t xml:space="preserve">mp-1048318</t>
  </si>
  <si>
    <t xml:space="preserve">Ca2FeWO6</t>
  </si>
  <si>
    <t xml:space="preserve">mp-1275487</t>
  </si>
  <si>
    <t xml:space="preserve">mp-19059</t>
  </si>
  <si>
    <t xml:space="preserve">mp-19864</t>
  </si>
  <si>
    <t xml:space="preserve">Imm2</t>
  </si>
  <si>
    <t xml:space="preserve">mp-619611</t>
  </si>
  <si>
    <t xml:space="preserve">mp-623098</t>
  </si>
  <si>
    <t xml:space="preserve">Pmm2</t>
  </si>
  <si>
    <t xml:space="preserve">mp-1523252</t>
  </si>
  <si>
    <t xml:space="preserve">Ca2HfNbO6</t>
  </si>
  <si>
    <t xml:space="preserve">mp-1516534</t>
  </si>
  <si>
    <t xml:space="preserve">Ca2HfTiO6</t>
  </si>
  <si>
    <t xml:space="preserve">mp-1522139</t>
  </si>
  <si>
    <t xml:space="preserve">Ca2HfZrO6</t>
  </si>
  <si>
    <t xml:space="preserve">mp-1227404</t>
  </si>
  <si>
    <t xml:space="preserve">Ca2IrRhO6</t>
  </si>
  <si>
    <t xml:space="preserve">Rh, Ir</t>
  </si>
  <si>
    <t xml:space="preserve">mp-1369951</t>
  </si>
  <si>
    <t xml:space="preserve">Ca2IrWO6</t>
  </si>
  <si>
    <t xml:space="preserve">Ir, W</t>
  </si>
  <si>
    <t xml:space="preserve">mp-39440</t>
  </si>
  <si>
    <t xml:space="preserve">Ca2MnIrO6</t>
  </si>
  <si>
    <t xml:space="preserve">mp-1227519</t>
  </si>
  <si>
    <t xml:space="preserve">Ca2MnNbO6</t>
  </si>
  <si>
    <t xml:space="preserve">mp-1326305</t>
  </si>
  <si>
    <t xml:space="preserve">Ca2MnNiO6</t>
  </si>
  <si>
    <t xml:space="preserve">Mn, Ni</t>
  </si>
  <si>
    <t xml:space="preserve">mp-1106155</t>
  </si>
  <si>
    <t xml:space="preserve">Ca2MnReO6</t>
  </si>
  <si>
    <t xml:space="preserve">mp-1227575</t>
  </si>
  <si>
    <t xml:space="preserve">Ca2MnRuO6</t>
  </si>
  <si>
    <t xml:space="preserve">mp-1045241</t>
  </si>
  <si>
    <t xml:space="preserve">Ca2MnWO6</t>
  </si>
  <si>
    <t xml:space="preserve">mp-1391233</t>
  </si>
  <si>
    <t xml:space="preserve">mp-19108</t>
  </si>
  <si>
    <t xml:space="preserve">mp-1047241</t>
  </si>
  <si>
    <t xml:space="preserve">Ca2MoWO6</t>
  </si>
  <si>
    <t xml:space="preserve">W, Mo</t>
  </si>
  <si>
    <t xml:space="preserve">mp-1347979</t>
  </si>
  <si>
    <t xml:space="preserve">mp-1214115</t>
  </si>
  <si>
    <t xml:space="preserve">Ca2NbCrO6</t>
  </si>
  <si>
    <t xml:space="preserve">Nb, Cr</t>
  </si>
  <si>
    <t xml:space="preserve">mp-1214121</t>
  </si>
  <si>
    <t xml:space="preserve">Ca2NbFeO6</t>
  </si>
  <si>
    <t xml:space="preserve">Nb, Fe</t>
  </si>
  <si>
    <t xml:space="preserve">mp-1047142</t>
  </si>
  <si>
    <t xml:space="preserve">Ca2NiIrO6</t>
  </si>
  <si>
    <t xml:space="preserve">Ni, Ir</t>
  </si>
  <si>
    <t xml:space="preserve">mp-1397424</t>
  </si>
  <si>
    <t xml:space="preserve">Ca2NiWO6</t>
  </si>
  <si>
    <t xml:space="preserve">mp-19114</t>
  </si>
  <si>
    <t xml:space="preserve">mp-556384</t>
  </si>
  <si>
    <t xml:space="preserve">mp-1377373</t>
  </si>
  <si>
    <t xml:space="preserve">Ca2TaCoO6</t>
  </si>
  <si>
    <t xml:space="preserve">P2_1/m</t>
  </si>
  <si>
    <t xml:space="preserve">mp-1214103</t>
  </si>
  <si>
    <t xml:space="preserve">Ca2TaCrO6</t>
  </si>
  <si>
    <t xml:space="preserve">Ta, Cr</t>
  </si>
  <si>
    <t xml:space="preserve">mp-1345721</t>
  </si>
  <si>
    <t xml:space="preserve">mp-1341944</t>
  </si>
  <si>
    <t xml:space="preserve">Ca2TaFeO6</t>
  </si>
  <si>
    <t xml:space="preserve">mp-558810</t>
  </si>
  <si>
    <t xml:space="preserve">Ca2TaMnO6</t>
  </si>
  <si>
    <t xml:space="preserve">mp-1366540</t>
  </si>
  <si>
    <t xml:space="preserve">Ca2TaMoO6</t>
  </si>
  <si>
    <t xml:space="preserve">Ta, Mo</t>
  </si>
  <si>
    <t xml:space="preserve">mp-1367927</t>
  </si>
  <si>
    <t xml:space="preserve">Ca2TaNiO6</t>
  </si>
  <si>
    <t xml:space="preserve">Ta, Ni</t>
  </si>
  <si>
    <t xml:space="preserve">mp-1373655</t>
  </si>
  <si>
    <t xml:space="preserve">Ca2TaTiO6</t>
  </si>
  <si>
    <t xml:space="preserve">Ta, Ti</t>
  </si>
  <si>
    <t xml:space="preserve">mp-1373426</t>
  </si>
  <si>
    <t xml:space="preserve">Ca2TaVO6</t>
  </si>
  <si>
    <t xml:space="preserve">Ta, V</t>
  </si>
  <si>
    <t xml:space="preserve">mp-1367958</t>
  </si>
  <si>
    <t xml:space="preserve">Ca2TaWO6</t>
  </si>
  <si>
    <t xml:space="preserve">Ta, W</t>
  </si>
  <si>
    <t xml:space="preserve">mp-1372505</t>
  </si>
  <si>
    <t xml:space="preserve">mp-1443834</t>
  </si>
  <si>
    <t xml:space="preserve">R3</t>
  </si>
  <si>
    <t xml:space="preserve">mp-1227758</t>
  </si>
  <si>
    <t xml:space="preserve">Ca2TiCrO6</t>
  </si>
  <si>
    <t xml:space="preserve">Ti, Cr</t>
  </si>
  <si>
    <t xml:space="preserve">mp-1340170</t>
  </si>
  <si>
    <t xml:space="preserve">Ca2TiIrO6</t>
  </si>
  <si>
    <t xml:space="preserve">Ti, Ir</t>
  </si>
  <si>
    <t xml:space="preserve">mp-1080507</t>
  </si>
  <si>
    <t xml:space="preserve">Ca2TiMnO6</t>
  </si>
  <si>
    <t xml:space="preserve">I4/m</t>
  </si>
  <si>
    <t xml:space="preserve">mp-1227706</t>
  </si>
  <si>
    <t xml:space="preserve">mp-1227718</t>
  </si>
  <si>
    <t xml:space="preserve">Ca2TiRuO6</t>
  </si>
  <si>
    <t xml:space="preserve">Ti, Ru</t>
  </si>
  <si>
    <t xml:space="preserve">mp-1367801</t>
  </si>
  <si>
    <t xml:space="preserve">Ca2TiWO6</t>
  </si>
  <si>
    <t xml:space="preserve">Ti, W</t>
  </si>
  <si>
    <t xml:space="preserve">mp-1384639</t>
  </si>
  <si>
    <t xml:space="preserve">mp-1379764</t>
  </si>
  <si>
    <t xml:space="preserve">Ca2VIrO6</t>
  </si>
  <si>
    <t xml:space="preserve">Ir, V</t>
  </si>
  <si>
    <t xml:space="preserve">mp-1227834</t>
  </si>
  <si>
    <t xml:space="preserve">Ca2VMoO6</t>
  </si>
  <si>
    <t xml:space="preserve">mp-1047139</t>
  </si>
  <si>
    <t xml:space="preserve">Ca2VWO6</t>
  </si>
  <si>
    <t xml:space="preserve">mp-1274301</t>
  </si>
  <si>
    <t xml:space="preserve">mp-1296431</t>
  </si>
  <si>
    <t xml:space="preserve">mp-1521637</t>
  </si>
  <si>
    <t xml:space="preserve">Ca2ZrFeO6</t>
  </si>
  <si>
    <t xml:space="preserve">Fe, Zr</t>
  </si>
  <si>
    <t xml:space="preserve">mp-1517008</t>
  </si>
  <si>
    <t xml:space="preserve">Ca2ZrNbO6</t>
  </si>
  <si>
    <t xml:space="preserve">Nb, Zr</t>
  </si>
  <si>
    <t xml:space="preserve">mp-1518628</t>
  </si>
  <si>
    <t xml:space="preserve">Ca2ZrTiO6</t>
  </si>
  <si>
    <t xml:space="preserve">mp-1652492</t>
  </si>
  <si>
    <t xml:space="preserve">Ca3CoRhO6</t>
  </si>
  <si>
    <t xml:space="preserve">mp-1666380</t>
  </si>
  <si>
    <t xml:space="preserve">mp-1983384</t>
  </si>
  <si>
    <t xml:space="preserve">mp-1986469</t>
  </si>
  <si>
    <t xml:space="preserve">mp-551544</t>
  </si>
  <si>
    <t xml:space="preserve">mp-551706</t>
  </si>
  <si>
    <t xml:space="preserve">R-3c</t>
  </si>
  <si>
    <t xml:space="preserve">mp-18843</t>
  </si>
  <si>
    <t xml:space="preserve">Ca3FeRhO6</t>
  </si>
  <si>
    <t xml:space="preserve">Fe, Rh</t>
  </si>
  <si>
    <t xml:space="preserve">mp-1232815</t>
  </si>
  <si>
    <t xml:space="preserve">Ca3MnCoO6</t>
  </si>
  <si>
    <t xml:space="preserve">Co, Mn</t>
  </si>
  <si>
    <t xml:space="preserve">mp-561610</t>
  </si>
  <si>
    <t xml:space="preserve">mp-22533</t>
  </si>
  <si>
    <t xml:space="preserve">Ca3MnNiO6</t>
  </si>
  <si>
    <t xml:space="preserve">mp-997184</t>
  </si>
  <si>
    <t xml:space="preserve">Ca3TiNiO6</t>
  </si>
  <si>
    <t xml:space="preserve">Ni, Ti</t>
  </si>
  <si>
    <t xml:space="preserve">mp-1372511</t>
  </si>
  <si>
    <t xml:space="preserve">CaCoWO6</t>
  </si>
  <si>
    <t xml:space="preserve">mp-1522808</t>
  </si>
  <si>
    <t xml:space="preserve">CaEuHfNbO6</t>
  </si>
  <si>
    <t xml:space="preserve">mp-1519554</t>
  </si>
  <si>
    <t xml:space="preserve">CaEuHfTiO6</t>
  </si>
  <si>
    <t xml:space="preserve">mp-1519493</t>
  </si>
  <si>
    <t xml:space="preserve">CaEuHfVO6</t>
  </si>
  <si>
    <t xml:space="preserve">Hf, V</t>
  </si>
  <si>
    <t xml:space="preserve">mp-1522072</t>
  </si>
  <si>
    <t xml:space="preserve">CaEuHfZrO6</t>
  </si>
  <si>
    <t xml:space="preserve">mp-1517301</t>
  </si>
  <si>
    <t xml:space="preserve">CaEuMnWO6</t>
  </si>
  <si>
    <t xml:space="preserve">mp-1521619</t>
  </si>
  <si>
    <t xml:space="preserve">CaEuNbFeO6</t>
  </si>
  <si>
    <t xml:space="preserve">mp-1521618</t>
  </si>
  <si>
    <t xml:space="preserve">CaEuZrMnO6</t>
  </si>
  <si>
    <t xml:space="preserve">Zr, Mn</t>
  </si>
  <si>
    <t xml:space="preserve">mp-1519002</t>
  </si>
  <si>
    <t xml:space="preserve">CaEuZrNbO6</t>
  </si>
  <si>
    <t xml:space="preserve">mp-1518717</t>
  </si>
  <si>
    <t xml:space="preserve">CaEuZrTiO6</t>
  </si>
  <si>
    <t xml:space="preserve">mp-1518352</t>
  </si>
  <si>
    <t xml:space="preserve">CaEuZrVO6</t>
  </si>
  <si>
    <t xml:space="preserve">Zr, V</t>
  </si>
  <si>
    <t xml:space="preserve">mp-1343817</t>
  </si>
  <si>
    <t xml:space="preserve">CaFeReO6</t>
  </si>
  <si>
    <t xml:space="preserve">mp-1385922</t>
  </si>
  <si>
    <t xml:space="preserve">CaFeWO6</t>
  </si>
  <si>
    <t xml:space="preserve">mp-1391360</t>
  </si>
  <si>
    <t xml:space="preserve">mp-1237349</t>
  </si>
  <si>
    <t xml:space="preserve">Dy2MnCoO6</t>
  </si>
  <si>
    <t xml:space="preserve">mp-1213197</t>
  </si>
  <si>
    <t xml:space="preserve">Dy2NiRuO6</t>
  </si>
  <si>
    <t xml:space="preserve">mp-1225428</t>
  </si>
  <si>
    <t xml:space="preserve">Dy2VFeO6</t>
  </si>
  <si>
    <t xml:space="preserve">mp-1213340</t>
  </si>
  <si>
    <t xml:space="preserve">Eu2CoRuO6</t>
  </si>
  <si>
    <t xml:space="preserve">mp-1520430</t>
  </si>
  <si>
    <t xml:space="preserve">Eu2CoWO6</t>
  </si>
  <si>
    <t xml:space="preserve">mp-1521041</t>
  </si>
  <si>
    <t xml:space="preserve">Eu2FeWO6</t>
  </si>
  <si>
    <t xml:space="preserve">mp-1518318</t>
  </si>
  <si>
    <t xml:space="preserve">Eu2HfFeO6</t>
  </si>
  <si>
    <t xml:space="preserve">Hf, Fe</t>
  </si>
  <si>
    <t xml:space="preserve">mp-1518357</t>
  </si>
  <si>
    <t xml:space="preserve">Eu2HfNbO6</t>
  </si>
  <si>
    <t xml:space="preserve">Hf, Nb</t>
  </si>
  <si>
    <t xml:space="preserve">mp-1521653</t>
  </si>
  <si>
    <t xml:space="preserve">Eu2HfTiO6</t>
  </si>
  <si>
    <t xml:space="preserve">mp-1518592</t>
  </si>
  <si>
    <t xml:space="preserve">Eu2HfVO6</t>
  </si>
  <si>
    <t xml:space="preserve">mp-1518017</t>
  </si>
  <si>
    <t xml:space="preserve">Eu2HfWO6</t>
  </si>
  <si>
    <t xml:space="preserve">mp-1520691</t>
  </si>
  <si>
    <t xml:space="preserve">Eu2HfZrO6</t>
  </si>
  <si>
    <t xml:space="preserve">Hf, Zr</t>
  </si>
  <si>
    <t xml:space="preserve">mp-1225753</t>
  </si>
  <si>
    <t xml:space="preserve">Eu2MnRhO6</t>
  </si>
  <si>
    <t xml:space="preserve">Mn, Rh</t>
  </si>
  <si>
    <t xml:space="preserve">mp-1516440</t>
  </si>
  <si>
    <t xml:space="preserve">Eu2MnWO6</t>
  </si>
  <si>
    <t xml:space="preserve">mp-1516596</t>
  </si>
  <si>
    <t xml:space="preserve">Eu2NbFeO6</t>
  </si>
  <si>
    <t xml:space="preserve">mp-1519174</t>
  </si>
  <si>
    <t xml:space="preserve">Eu2NbWO6</t>
  </si>
  <si>
    <t xml:space="preserve">mp-1516887</t>
  </si>
  <si>
    <t xml:space="preserve">Eu2NiWO6</t>
  </si>
  <si>
    <t xml:space="preserve">mp-1521061</t>
  </si>
  <si>
    <t xml:space="preserve">Eu2TiNbO6</t>
  </si>
  <si>
    <t xml:space="preserve">mp-1520585</t>
  </si>
  <si>
    <t xml:space="preserve">Eu2VWO6</t>
  </si>
  <si>
    <t xml:space="preserve">mp-1520930</t>
  </si>
  <si>
    <t xml:space="preserve">Eu2ZrCrO6</t>
  </si>
  <si>
    <t xml:space="preserve">mp-1519374</t>
  </si>
  <si>
    <t xml:space="preserve">Eu2ZrFeO6</t>
  </si>
  <si>
    <t xml:space="preserve">mp-1516495</t>
  </si>
  <si>
    <t xml:space="preserve">Eu2ZrNbO6</t>
  </si>
  <si>
    <t xml:space="preserve">mp-1520462</t>
  </si>
  <si>
    <t xml:space="preserve">Eu2ZrTiO6</t>
  </si>
  <si>
    <t xml:space="preserve">mp-1523032</t>
  </si>
  <si>
    <t xml:space="preserve">Eu2ZrVO6</t>
  </si>
  <si>
    <t xml:space="preserve">mp-1520588</t>
  </si>
  <si>
    <t xml:space="preserve">Eu2ZrWO6</t>
  </si>
  <si>
    <t xml:space="preserve">mp-1519362</t>
  </si>
  <si>
    <t xml:space="preserve">EuHfCrBiO6</t>
  </si>
  <si>
    <t xml:space="preserve">Cr, Hf</t>
  </si>
  <si>
    <t xml:space="preserve">mp-1224833</t>
  </si>
  <si>
    <t xml:space="preserve">Gd2MnCoO6</t>
  </si>
  <si>
    <t xml:space="preserve">mp-1212655</t>
  </si>
  <si>
    <t xml:space="preserve">Gd2MnNiO6</t>
  </si>
  <si>
    <t xml:space="preserve">mp-1212785</t>
  </si>
  <si>
    <t xml:space="preserve">Gd2NiRuO6</t>
  </si>
  <si>
    <t xml:space="preserve">mp-1225231</t>
  </si>
  <si>
    <t xml:space="preserve">Gd2VFeO6</t>
  </si>
  <si>
    <t xml:space="preserve">mp-1519547</t>
  </si>
  <si>
    <t xml:space="preserve">KCaNbWO6</t>
  </si>
  <si>
    <t xml:space="preserve">mp-1520344</t>
  </si>
  <si>
    <t xml:space="preserve">KCaZrNbO6</t>
  </si>
  <si>
    <t xml:space="preserve">mp-1521506</t>
  </si>
  <si>
    <t xml:space="preserve">KEuHfFeO6</t>
  </si>
  <si>
    <t xml:space="preserve">mp-1521954</t>
  </si>
  <si>
    <t xml:space="preserve">KEuHfTiO6</t>
  </si>
  <si>
    <t xml:space="preserve">mp-1518234</t>
  </si>
  <si>
    <t xml:space="preserve">KEuHfZrO6</t>
  </si>
  <si>
    <t xml:space="preserve">mp-1523222</t>
  </si>
  <si>
    <t xml:space="preserve">KFeBiWO6</t>
  </si>
  <si>
    <t xml:space="preserve">mp-1521336</t>
  </si>
  <si>
    <t xml:space="preserve">KGdHfTiO6</t>
  </si>
  <si>
    <t xml:space="preserve">mp-1522209</t>
  </si>
  <si>
    <t xml:space="preserve">KHfNbBiO6</t>
  </si>
  <si>
    <t xml:space="preserve">mp-1516503</t>
  </si>
  <si>
    <t xml:space="preserve">KHfNbInO6</t>
  </si>
  <si>
    <t xml:space="preserve">mp-1521210</t>
  </si>
  <si>
    <t xml:space="preserve">KHfZrBiO6</t>
  </si>
  <si>
    <t xml:space="preserve">mp-1516194</t>
  </si>
  <si>
    <t xml:space="preserve">KLaCoWO6</t>
  </si>
  <si>
    <t xml:space="preserve">mp-1523210</t>
  </si>
  <si>
    <t xml:space="preserve">KLaFeWO6</t>
  </si>
  <si>
    <t xml:space="preserve">mp-1522697</t>
  </si>
  <si>
    <t xml:space="preserve">KLaHfCrO6</t>
  </si>
  <si>
    <t xml:space="preserve">mp-1518711</t>
  </si>
  <si>
    <t xml:space="preserve">KLaHfFeO6</t>
  </si>
  <si>
    <t xml:space="preserve">mp-1520833</t>
  </si>
  <si>
    <t xml:space="preserve">KLaHfNbO6</t>
  </si>
  <si>
    <t xml:space="preserve">mp-1516609</t>
  </si>
  <si>
    <t xml:space="preserve">KLaHfTiO6</t>
  </si>
  <si>
    <t xml:space="preserve">mp-1105566</t>
  </si>
  <si>
    <t xml:space="preserve">KLaMnWO6</t>
  </si>
  <si>
    <t xml:space="preserve">P2_1</t>
  </si>
  <si>
    <t xml:space="preserve">mp-1520582</t>
  </si>
  <si>
    <t xml:space="preserve">mp-1522297</t>
  </si>
  <si>
    <t xml:space="preserve">KLaNbCrO6</t>
  </si>
  <si>
    <t xml:space="preserve">mp-1522180</t>
  </si>
  <si>
    <t xml:space="preserve">KLaNbFeO6</t>
  </si>
  <si>
    <t xml:space="preserve">mp-1520198</t>
  </si>
  <si>
    <t xml:space="preserve">KLaNbNiO6</t>
  </si>
  <si>
    <t xml:space="preserve">Nb, Ni</t>
  </si>
  <si>
    <t xml:space="preserve">mp-1516686</t>
  </si>
  <si>
    <t xml:space="preserve">KLaNbWO6</t>
  </si>
  <si>
    <t xml:space="preserve">mp-1517874</t>
  </si>
  <si>
    <t xml:space="preserve">KLaNiWO6</t>
  </si>
  <si>
    <t xml:space="preserve">mp-1521711</t>
  </si>
  <si>
    <t xml:space="preserve">KLaTiNbO6</t>
  </si>
  <si>
    <t xml:space="preserve">mp-1521904</t>
  </si>
  <si>
    <t xml:space="preserve">KLaVWO6</t>
  </si>
  <si>
    <t xml:space="preserve">mp-1517088</t>
  </si>
  <si>
    <t xml:space="preserve">KLaZrCrO6</t>
  </si>
  <si>
    <t xml:space="preserve">mp-1519849</t>
  </si>
  <si>
    <t xml:space="preserve">KLaZrFeO6</t>
  </si>
  <si>
    <t xml:space="preserve">mp-1522104</t>
  </si>
  <si>
    <t xml:space="preserve">KLaZrNbO6</t>
  </si>
  <si>
    <t xml:space="preserve">mp-1520792</t>
  </si>
  <si>
    <t xml:space="preserve">KLaZrTiO6</t>
  </si>
  <si>
    <t xml:space="preserve">mp-1520546</t>
  </si>
  <si>
    <t xml:space="preserve">KLaZrVO6</t>
  </si>
  <si>
    <t xml:space="preserve">mp-1522301</t>
  </si>
  <si>
    <t xml:space="preserve">KMnBiWO6</t>
  </si>
  <si>
    <t xml:space="preserve">mp-1516600</t>
  </si>
  <si>
    <t xml:space="preserve">KNdHfTiO6</t>
  </si>
  <si>
    <t xml:space="preserve">mp-1521021</t>
  </si>
  <si>
    <t xml:space="preserve">KNdHfZrO6</t>
  </si>
  <si>
    <t xml:space="preserve">mp-1105240</t>
  </si>
  <si>
    <t xml:space="preserve">KNdMnWO6</t>
  </si>
  <si>
    <t xml:space="preserve">mp-1520724</t>
  </si>
  <si>
    <t xml:space="preserve">KNdZrFeO6</t>
  </si>
  <si>
    <t xml:space="preserve">mp-1517399</t>
  </si>
  <si>
    <t xml:space="preserve">KNdZrNbO6</t>
  </si>
  <si>
    <t xml:space="preserve">mp-1523257</t>
  </si>
  <si>
    <t xml:space="preserve">KNdZrTiO6</t>
  </si>
  <si>
    <t xml:space="preserve">mp-1519358</t>
  </si>
  <si>
    <t xml:space="preserve">KNiBiWO6</t>
  </si>
  <si>
    <t xml:space="preserve">mp-1520212</t>
  </si>
  <si>
    <t xml:space="preserve">KVBiWO6</t>
  </si>
  <si>
    <t xml:space="preserve">mp-1521496</t>
  </si>
  <si>
    <t xml:space="preserve">KZrMnBiO6</t>
  </si>
  <si>
    <t xml:space="preserve">Mn, Zr</t>
  </si>
  <si>
    <t xml:space="preserve">mp-1518641</t>
  </si>
  <si>
    <t xml:space="preserve">KZrNbBiO6</t>
  </si>
  <si>
    <t xml:space="preserve">mp-18862</t>
  </si>
  <si>
    <t xml:space="preserve">La2CoIrO6</t>
  </si>
  <si>
    <t xml:space="preserve">mp-1223259</t>
  </si>
  <si>
    <t xml:space="preserve">La2CoNiO6</t>
  </si>
  <si>
    <t xml:space="preserve">Co, Ni</t>
  </si>
  <si>
    <t xml:space="preserve">R-3</t>
  </si>
  <si>
    <t xml:space="preserve">mp-1275360</t>
  </si>
  <si>
    <t xml:space="preserve">mp-1211319</t>
  </si>
  <si>
    <t xml:space="preserve">La2CoRuO6</t>
  </si>
  <si>
    <t xml:space="preserve">mp-1223369</t>
  </si>
  <si>
    <t xml:space="preserve">La2CrFeO6</t>
  </si>
  <si>
    <t xml:space="preserve">mp-1223257</t>
  </si>
  <si>
    <t xml:space="preserve">La2CrMoO6</t>
  </si>
  <si>
    <t xml:space="preserve">mp-1223373</t>
  </si>
  <si>
    <t xml:space="preserve">La2FeCoO6</t>
  </si>
  <si>
    <t xml:space="preserve">Co, Fe</t>
  </si>
  <si>
    <t xml:space="preserve">mp-1223335</t>
  </si>
  <si>
    <t xml:space="preserve">La2FeNiO6</t>
  </si>
  <si>
    <t xml:space="preserve">mp-1078675</t>
  </si>
  <si>
    <t xml:space="preserve">La2HfNiO6</t>
  </si>
  <si>
    <t xml:space="preserve">Hf, Ni</t>
  </si>
  <si>
    <t xml:space="preserve">mp-19208</t>
  </si>
  <si>
    <t xml:space="preserve">La2MnCoO6</t>
  </si>
  <si>
    <t xml:space="preserve">mp-1223342</t>
  </si>
  <si>
    <t xml:space="preserve">La2MnCrO6</t>
  </si>
  <si>
    <t xml:space="preserve">mp-1666963</t>
  </si>
  <si>
    <t xml:space="preserve">mp-1079517</t>
  </si>
  <si>
    <t xml:space="preserve">La2MnNiO6</t>
  </si>
  <si>
    <t xml:space="preserve">Ni, Mn</t>
  </si>
  <si>
    <t xml:space="preserve">mp-1188812</t>
  </si>
  <si>
    <t xml:space="preserve">mp-1223253</t>
  </si>
  <si>
    <t xml:space="preserve">mp-1223338</t>
  </si>
  <si>
    <t xml:space="preserve">La2MnRhO6</t>
  </si>
  <si>
    <t xml:space="preserve">Rh, Mn</t>
  </si>
  <si>
    <t xml:space="preserve">mp-1223380</t>
  </si>
  <si>
    <t xml:space="preserve">La2MnRuO6</t>
  </si>
  <si>
    <t xml:space="preserve">mp-560369</t>
  </si>
  <si>
    <t xml:space="preserve">La2MnVO6</t>
  </si>
  <si>
    <t xml:space="preserve">Mn, V</t>
  </si>
  <si>
    <t xml:space="preserve">mp-1223155</t>
  </si>
  <si>
    <t xml:space="preserve">La2NbCrO6</t>
  </si>
  <si>
    <t xml:space="preserve">mp-1211522</t>
  </si>
  <si>
    <t xml:space="preserve">La2NbNiO6</t>
  </si>
  <si>
    <t xml:space="preserve">mp-20964</t>
  </si>
  <si>
    <t xml:space="preserve">La2NiIrO6</t>
  </si>
  <si>
    <t xml:space="preserve">mp-1223214</t>
  </si>
  <si>
    <t xml:space="preserve">La2NiRhO6</t>
  </si>
  <si>
    <t xml:space="preserve">Ni, Rh</t>
  </si>
  <si>
    <t xml:space="preserve">mp-19176</t>
  </si>
  <si>
    <t xml:space="preserve">La2NiRuO6</t>
  </si>
  <si>
    <t xml:space="preserve">mp-1087477</t>
  </si>
  <si>
    <t xml:space="preserve">La2TcNiO6</t>
  </si>
  <si>
    <t xml:space="preserve">Ni, Tc</t>
  </si>
  <si>
    <t xml:space="preserve">mp-1078893</t>
  </si>
  <si>
    <t xml:space="preserve">La2TiCoO6</t>
  </si>
  <si>
    <t xml:space="preserve">Co, Ti</t>
  </si>
  <si>
    <t xml:space="preserve">mp-1211314</t>
  </si>
  <si>
    <t xml:space="preserve">mp-1225793</t>
  </si>
  <si>
    <t xml:space="preserve">La2TiCrO6</t>
  </si>
  <si>
    <t xml:space="preserve">mp-1276293</t>
  </si>
  <si>
    <t xml:space="preserve">mp-1276363</t>
  </si>
  <si>
    <t xml:space="preserve">mp-1277771</t>
  </si>
  <si>
    <t xml:space="preserve">mp-1279644</t>
  </si>
  <si>
    <t xml:space="preserve">mp-1223138</t>
  </si>
  <si>
    <t xml:space="preserve">La2TiMnO6</t>
  </si>
  <si>
    <t xml:space="preserve">Ti, Mn</t>
  </si>
  <si>
    <t xml:space="preserve">mp-1079373</t>
  </si>
  <si>
    <t xml:space="preserve">La2TiNiO6</t>
  </si>
  <si>
    <t xml:space="preserve">mp-1211325</t>
  </si>
  <si>
    <t xml:space="preserve">mp-1223233</t>
  </si>
  <si>
    <t xml:space="preserve">La2VFeO6</t>
  </si>
  <si>
    <t xml:space="preserve">mp-1651775</t>
  </si>
  <si>
    <t xml:space="preserve">mp-1040836</t>
  </si>
  <si>
    <t xml:space="preserve">LaCrCoO6</t>
  </si>
  <si>
    <t xml:space="preserve">mp-1040835</t>
  </si>
  <si>
    <t xml:space="preserve">LaCrReO6</t>
  </si>
  <si>
    <t xml:space="preserve">Re, Cr</t>
  </si>
  <si>
    <t xml:space="preserve">mp-1040819</t>
  </si>
  <si>
    <t xml:space="preserve">LaCrWO6</t>
  </si>
  <si>
    <t xml:space="preserve">mp-1043944</t>
  </si>
  <si>
    <t xml:space="preserve">LaFeMoO6</t>
  </si>
  <si>
    <t xml:space="preserve">mp-1043955</t>
  </si>
  <si>
    <t xml:space="preserve">LaFeReO6</t>
  </si>
  <si>
    <t xml:space="preserve">mp-1043919</t>
  </si>
  <si>
    <t xml:space="preserve">LaFeWO6</t>
  </si>
  <si>
    <t xml:space="preserve">mp-1049205</t>
  </si>
  <si>
    <t xml:space="preserve">LaMgCrMoO6</t>
  </si>
  <si>
    <t xml:space="preserve">mp-2240259</t>
  </si>
  <si>
    <t xml:space="preserve">mp-1044938</t>
  </si>
  <si>
    <t xml:space="preserve">LaMgCrWO6</t>
  </si>
  <si>
    <t xml:space="preserve">mp-2222872</t>
  </si>
  <si>
    <t xml:space="preserve">mp-1043870</t>
  </si>
  <si>
    <t xml:space="preserve">LaMgFeNiO6</t>
  </si>
  <si>
    <t xml:space="preserve">mp-1646328</t>
  </si>
  <si>
    <t xml:space="preserve">mp-1043975</t>
  </si>
  <si>
    <t xml:space="preserve">LaMgFeWO6</t>
  </si>
  <si>
    <t xml:space="preserve">mp-1043996</t>
  </si>
  <si>
    <t xml:space="preserve">LaMgMnFeO6</t>
  </si>
  <si>
    <t xml:space="preserve">mp-1043991</t>
  </si>
  <si>
    <t xml:space="preserve">LaMgTaFeO6</t>
  </si>
  <si>
    <t xml:space="preserve">mp-1043786</t>
  </si>
  <si>
    <t xml:space="preserve">LaMgTiFeO6</t>
  </si>
  <si>
    <t xml:space="preserve">mp-1044888</t>
  </si>
  <si>
    <t xml:space="preserve">LaMgVCrO6</t>
  </si>
  <si>
    <t xml:space="preserve">mp-1043844</t>
  </si>
  <si>
    <t xml:space="preserve">LaMgVFeO6</t>
  </si>
  <si>
    <t xml:space="preserve">mp-1040853</t>
  </si>
  <si>
    <t xml:space="preserve">LaTaCrO6</t>
  </si>
  <si>
    <t xml:space="preserve">mp-1044002</t>
  </si>
  <si>
    <t xml:space="preserve">LaTaFeO6</t>
  </si>
  <si>
    <t xml:space="preserve">mp-1222764</t>
  </si>
  <si>
    <t xml:space="preserve">LaTaTiO6</t>
  </si>
  <si>
    <t xml:space="preserve">Ti, Ta</t>
  </si>
  <si>
    <t xml:space="preserve">mp-1222878</t>
  </si>
  <si>
    <t xml:space="preserve">Pna2_1</t>
  </si>
  <si>
    <t xml:space="preserve">mp-1346591</t>
  </si>
  <si>
    <t xml:space="preserve">LaTiCrO6</t>
  </si>
  <si>
    <t xml:space="preserve">mp-1222787</t>
  </si>
  <si>
    <t xml:space="preserve">LaTiNbO6</t>
  </si>
  <si>
    <t xml:space="preserve">mp-1222933</t>
  </si>
  <si>
    <t xml:space="preserve">mp-1105823</t>
  </si>
  <si>
    <t xml:space="preserve">NaLaFeWO6</t>
  </si>
  <si>
    <t xml:space="preserve">mp-1517281</t>
  </si>
  <si>
    <t xml:space="preserve">NaLaHfNbO6</t>
  </si>
  <si>
    <t xml:space="preserve">mp-1516496</t>
  </si>
  <si>
    <t xml:space="preserve">NaLaHfTiO6</t>
  </si>
  <si>
    <t xml:space="preserve">mp-1518151</t>
  </si>
  <si>
    <t xml:space="preserve">NaLaHfZrO6</t>
  </si>
  <si>
    <t xml:space="preserve">mp-1517122</t>
  </si>
  <si>
    <t xml:space="preserve">NaLaMnWO6</t>
  </si>
  <si>
    <t xml:space="preserve">mp-22748</t>
  </si>
  <si>
    <t xml:space="preserve">mp-1173651</t>
  </si>
  <si>
    <t xml:space="preserve">NaLaNiWO6</t>
  </si>
  <si>
    <t xml:space="preserve">mp-1522096</t>
  </si>
  <si>
    <t xml:space="preserve">NaLaVWO6</t>
  </si>
  <si>
    <t xml:space="preserve">mp-1520308</t>
  </si>
  <si>
    <t xml:space="preserve">NaLaZrFeO6</t>
  </si>
  <si>
    <t xml:space="preserve">mp-1520149</t>
  </si>
  <si>
    <t xml:space="preserve">NaLaZrNbO6</t>
  </si>
  <si>
    <t xml:space="preserve">mp-1521929</t>
  </si>
  <si>
    <t xml:space="preserve">NaLaZrTiO6</t>
  </si>
  <si>
    <t xml:space="preserve">mp-1521458</t>
  </si>
  <si>
    <t xml:space="preserve">NaLaZrVO6</t>
  </si>
  <si>
    <t xml:space="preserve">mp-1520467</t>
  </si>
  <si>
    <t xml:space="preserve">NaMnBiWO6</t>
  </si>
  <si>
    <t xml:space="preserve">mp-1521298</t>
  </si>
  <si>
    <t xml:space="preserve">NaNbInWO6</t>
  </si>
  <si>
    <t xml:space="preserve">mp-1210062</t>
  </si>
  <si>
    <t xml:space="preserve">NaNdCoWO6</t>
  </si>
  <si>
    <t xml:space="preserve">mp-1189143</t>
  </si>
  <si>
    <t xml:space="preserve">NaNdFeWO6</t>
  </si>
  <si>
    <t xml:space="preserve">mp-1522126</t>
  </si>
  <si>
    <t xml:space="preserve">NaNdHfNbO6</t>
  </si>
  <si>
    <t xml:space="preserve">mp-1516737</t>
  </si>
  <si>
    <t xml:space="preserve">NaNdHfTiO6</t>
  </si>
  <si>
    <t xml:space="preserve">mp-1517896</t>
  </si>
  <si>
    <t xml:space="preserve">NaNdMnWO6</t>
  </si>
  <si>
    <t xml:space="preserve">mp-20156</t>
  </si>
  <si>
    <t xml:space="preserve">mp-1521141</t>
  </si>
  <si>
    <t xml:space="preserve">NaCaHfNbO6</t>
  </si>
  <si>
    <t xml:space="preserve">mp-1516390</t>
  </si>
  <si>
    <t xml:space="preserve">NaCaHfWO6</t>
  </si>
  <si>
    <t xml:space="preserve">mp-1521548</t>
  </si>
  <si>
    <t xml:space="preserve">NaCaNbWO6</t>
  </si>
  <si>
    <t xml:space="preserve">mp-39712</t>
  </si>
  <si>
    <t xml:space="preserve">NaCaTaTiO6</t>
  </si>
  <si>
    <t xml:space="preserve">mp-1518125</t>
  </si>
  <si>
    <t xml:space="preserve">NaCaZrNbO6</t>
  </si>
  <si>
    <t xml:space="preserve">mp-1516212</t>
  </si>
  <si>
    <t xml:space="preserve">NaCaZrWO6</t>
  </si>
  <si>
    <t xml:space="preserve">mp-1516948</t>
  </si>
  <si>
    <t xml:space="preserve">NaEuHfFeO6</t>
  </si>
  <si>
    <t xml:space="preserve">mp-1518553</t>
  </si>
  <si>
    <t xml:space="preserve">NaEuHfNbO6</t>
  </si>
  <si>
    <t xml:space="preserve">mp-1517978</t>
  </si>
  <si>
    <t xml:space="preserve">NaEuHfTiO6</t>
  </si>
  <si>
    <t xml:space="preserve">mp-1522189</t>
  </si>
  <si>
    <t xml:space="preserve">NaEuHfWO6</t>
  </si>
  <si>
    <t xml:space="preserve">mp-1522034</t>
  </si>
  <si>
    <t xml:space="preserve">NaEuNbWO6</t>
  </si>
  <si>
    <t xml:space="preserve">mp-1517534</t>
  </si>
  <si>
    <t xml:space="preserve">NaEuZrTiO6</t>
  </si>
  <si>
    <t xml:space="preserve">mp-1516967</t>
  </si>
  <si>
    <t xml:space="preserve">NaEuZrWO6</t>
  </si>
  <si>
    <t xml:space="preserve">mp-1220568</t>
  </si>
  <si>
    <t xml:space="preserve">Nd2CoNiO6</t>
  </si>
  <si>
    <t xml:space="preserve">mp-1210035</t>
  </si>
  <si>
    <t xml:space="preserve">Nd2CoRuO6</t>
  </si>
  <si>
    <t xml:space="preserve">mp-1220540</t>
  </si>
  <si>
    <t xml:space="preserve">Nd2FeNiO6</t>
  </si>
  <si>
    <t xml:space="preserve">mp-19336</t>
  </si>
  <si>
    <t xml:space="preserve">Nd2MnCoO6</t>
  </si>
  <si>
    <t xml:space="preserve">mp-1220516</t>
  </si>
  <si>
    <t xml:space="preserve">Nd2MnCrO6</t>
  </si>
  <si>
    <t xml:space="preserve">mp-1220545</t>
  </si>
  <si>
    <t xml:space="preserve">Nd2MnFeO6</t>
  </si>
  <si>
    <t xml:space="preserve">mp-18899</t>
  </si>
  <si>
    <t xml:space="preserve">Nd2MnNiO6</t>
  </si>
  <si>
    <t xml:space="preserve">mp-1220508</t>
  </si>
  <si>
    <t xml:space="preserve">Nd2MnRhO6</t>
  </si>
  <si>
    <t xml:space="preserve">mp-1209990</t>
  </si>
  <si>
    <t xml:space="preserve">Nd2NiRuO6</t>
  </si>
  <si>
    <t xml:space="preserve">mp-1220528</t>
  </si>
  <si>
    <t xml:space="preserve">Nd2VFeO6</t>
  </si>
  <si>
    <t xml:space="preserve">mp-1518805</t>
  </si>
  <si>
    <t xml:space="preserve">NdEuHfCrO6</t>
  </si>
  <si>
    <t xml:space="preserve">mp-1521819</t>
  </si>
  <si>
    <t xml:space="preserve">NdEuHfTiO6</t>
  </si>
  <si>
    <t xml:space="preserve">mp-1520563</t>
  </si>
  <si>
    <t xml:space="preserve">NdEuMnFeO6</t>
  </si>
  <si>
    <t xml:space="preserve">mp-1516183</t>
  </si>
  <si>
    <t xml:space="preserve">NdEuZrTiO6</t>
  </si>
  <si>
    <t xml:space="preserve">mp-1221020</t>
  </si>
  <si>
    <t xml:space="preserve">NdMnFeBiO6</t>
  </si>
  <si>
    <t xml:space="preserve">mp-1237102</t>
  </si>
  <si>
    <t xml:space="preserve">mp-1220116</t>
  </si>
  <si>
    <t xml:space="preserve">NdTaTiO6</t>
  </si>
  <si>
    <t xml:space="preserve">mp-1105199</t>
  </si>
  <si>
    <t xml:space="preserve">RbLaMnWO6</t>
  </si>
  <si>
    <t xml:space="preserve">mp-1105157</t>
  </si>
  <si>
    <t xml:space="preserve">RbNdMnWO6</t>
  </si>
  <si>
    <t xml:space="preserve">mp-1216838</t>
  </si>
  <si>
    <t xml:space="preserve">TiNbBiO6</t>
  </si>
  <si>
    <t xml:space="preserve">mp-1189894</t>
  </si>
  <si>
    <t xml:space="preserve">Y2MnCoO6</t>
  </si>
  <si>
    <t xml:space="preserve">Co, Mn, Y</t>
  </si>
  <si>
    <t xml:space="preserve">Mn</t>
  </si>
  <si>
    <t xml:space="preserve">mp-19192</t>
  </si>
  <si>
    <t xml:space="preserve">Y2MnNiO6</t>
  </si>
  <si>
    <t xml:space="preserve">Mn, Ni, Y</t>
  </si>
  <si>
    <t xml:space="preserve">Ni</t>
  </si>
  <si>
    <t xml:space="preserve">mp-1045038</t>
  </si>
  <si>
    <t xml:space="preserve">YCr3O6</t>
  </si>
  <si>
    <t xml:space="preserve">Cr, Y</t>
  </si>
  <si>
    <t xml:space="preserve">mp-1105234</t>
  </si>
  <si>
    <t xml:space="preserve">YCrTeO6</t>
  </si>
  <si>
    <t xml:space="preserve">P-31c</t>
  </si>
  <si>
    <t xml:space="preserve">mp-1215956</t>
  </si>
  <si>
    <t xml:space="preserve">Yb2MnCoO6</t>
  </si>
  <si>
    <t xml:space="preserve">mp-1215802</t>
  </si>
  <si>
    <t xml:space="preserve">YbTaTiO6</t>
  </si>
  <si>
    <t xml:space="preserve">mp-2230028</t>
  </si>
  <si>
    <t xml:space="preserve">Ba2La2MgMn(WO6)2</t>
  </si>
  <si>
    <t xml:space="preserve">mp-560825</t>
  </si>
  <si>
    <t xml:space="preserve">Ba2La2Mn(WO6)2</t>
  </si>
  <si>
    <t xml:space="preserve">mp-1228484</t>
  </si>
  <si>
    <t xml:space="preserve">Ba2La2Ni(WO6)2</t>
  </si>
  <si>
    <t xml:space="preserve">mp-2230422</t>
  </si>
  <si>
    <t xml:space="preserve">Ba4MgCo(ReO6)2</t>
  </si>
  <si>
    <t xml:space="preserve">mp-1228145</t>
  </si>
  <si>
    <t xml:space="preserve">Ba6Ca2Ta(RuO6)3</t>
  </si>
  <si>
    <t xml:space="preserve">Ta, Ru</t>
  </si>
  <si>
    <t xml:space="preserve">mp-684803</t>
  </si>
  <si>
    <t xml:space="preserve">Ba3La3Mn2(WO6)3</t>
  </si>
  <si>
    <t xml:space="preserve">R3m</t>
  </si>
  <si>
    <t xml:space="preserve">mp-1106249</t>
  </si>
  <si>
    <t xml:space="preserve">Ba4Co(ReO6)2</t>
  </si>
  <si>
    <t xml:space="preserve">mp-1375060</t>
  </si>
  <si>
    <t xml:space="preserve">CaLa2Mn2(FeO6)2</t>
  </si>
  <si>
    <t xml:space="preserve">mp-1233435</t>
  </si>
  <si>
    <t xml:space="preserve">CaMn4(CoO6)2</t>
  </si>
  <si>
    <t xml:space="preserve">mp-1234878</t>
  </si>
  <si>
    <t xml:space="preserve">mp-1233707</t>
  </si>
  <si>
    <t xml:space="preserve">CaV4(NiO6)2</t>
  </si>
  <si>
    <t xml:space="preserve">Ni, V</t>
  </si>
  <si>
    <t xml:space="preserve">mp-1233711</t>
  </si>
  <si>
    <t xml:space="preserve">mp-1227837</t>
  </si>
  <si>
    <t xml:space="preserve">Ca15Ni(IrO6)4</t>
  </si>
  <si>
    <t xml:space="preserve">P2</t>
  </si>
  <si>
    <t xml:space="preserve">mp-1227895</t>
  </si>
  <si>
    <t xml:space="preserve">mp-1374973</t>
  </si>
  <si>
    <t xml:space="preserve">Ca3Co2(WO6)2</t>
  </si>
  <si>
    <t xml:space="preserve">mp-1357678</t>
  </si>
  <si>
    <t xml:space="preserve">Ca3Cr6(FeO6)4</t>
  </si>
  <si>
    <t xml:space="preserve">Fe, Cr</t>
  </si>
  <si>
    <t xml:space="preserve">mp-1323783</t>
  </si>
  <si>
    <t xml:space="preserve">Ca3Fe2(MoO6)2</t>
  </si>
  <si>
    <t xml:space="preserve">mp-1366463</t>
  </si>
  <si>
    <t xml:space="preserve">Ca3Fe2(ReO6)2</t>
  </si>
  <si>
    <t xml:space="preserve">mp-1347394</t>
  </si>
  <si>
    <t xml:space="preserve">Ca3Fe2(RhO6)2</t>
  </si>
  <si>
    <t xml:space="preserve">R32</t>
  </si>
  <si>
    <t xml:space="preserve">mp-1275790</t>
  </si>
  <si>
    <t xml:space="preserve">Ca3Fe2(WO6)2</t>
  </si>
  <si>
    <t xml:space="preserve">Pm</t>
  </si>
  <si>
    <t xml:space="preserve">mp-1301722</t>
  </si>
  <si>
    <t xml:space="preserve">mp-1228602</t>
  </si>
  <si>
    <t xml:space="preserve">Ca3LaFe2(MoO6)2</t>
  </si>
  <si>
    <t xml:space="preserve">mp-1227846</t>
  </si>
  <si>
    <t xml:space="preserve">Ca3LaMn2(IrO6)2</t>
  </si>
  <si>
    <t xml:space="preserve">mp-1340405</t>
  </si>
  <si>
    <t xml:space="preserve">Ca3Mn2(IrO6)2</t>
  </si>
  <si>
    <t xml:space="preserve">mp-1275109</t>
  </si>
  <si>
    <t xml:space="preserve">Ca3Mn2(WO6)2</t>
  </si>
  <si>
    <t xml:space="preserve">mp-1341945</t>
  </si>
  <si>
    <t xml:space="preserve">Ca3Ni2(WO6)2</t>
  </si>
  <si>
    <t xml:space="preserve">mp-1043066</t>
  </si>
  <si>
    <t xml:space="preserve">Ca3Ta6(FeO6)4</t>
  </si>
  <si>
    <t xml:space="preserve">mp-1214146</t>
  </si>
  <si>
    <t xml:space="preserve">Ca3V3(CoO6)2</t>
  </si>
  <si>
    <t xml:space="preserve">Co, V</t>
  </si>
  <si>
    <t xml:space="preserve">Ia-3d</t>
  </si>
  <si>
    <t xml:space="preserve">mp-1214162</t>
  </si>
  <si>
    <t xml:space="preserve">Ca3V3(NiO6)2</t>
  </si>
  <si>
    <t xml:space="preserve">mp-1042908</t>
  </si>
  <si>
    <t xml:space="preserve">Ca3V6(FeO6)4</t>
  </si>
  <si>
    <t xml:space="preserve">mp-1329093</t>
  </si>
  <si>
    <t xml:space="preserve">Ca5Mn2(NiO6)2</t>
  </si>
  <si>
    <t xml:space="preserve">mp-1227125</t>
  </si>
  <si>
    <t xml:space="preserve">Ca7Ni(IrO6)2</t>
  </si>
  <si>
    <t xml:space="preserve">mp-1227618</t>
  </si>
  <si>
    <t xml:space="preserve">Ca9Y3(CoO6)4</t>
  </si>
  <si>
    <t xml:space="preserve">Co, Y</t>
  </si>
  <si>
    <t xml:space="preserve">mp-1227804</t>
  </si>
  <si>
    <t xml:space="preserve">mp-1225913</t>
  </si>
  <si>
    <t xml:space="preserve">Eu2Mo(WO6)2</t>
  </si>
  <si>
    <t xml:space="preserve">Mo, W</t>
  </si>
  <si>
    <t xml:space="preserve">C2/c</t>
  </si>
  <si>
    <t xml:space="preserve">mp-560123</t>
  </si>
  <si>
    <t xml:space="preserve">FeBi3(MoO6)2</t>
  </si>
  <si>
    <t xml:space="preserve">mp-2231116</t>
  </si>
  <si>
    <t xml:space="preserve">La2MgCr2(CoO6)2</t>
  </si>
  <si>
    <t xml:space="preserve">mp-2230275</t>
  </si>
  <si>
    <t xml:space="preserve">La2MgFe2(MoO6)2</t>
  </si>
  <si>
    <t xml:space="preserve">mp-2230665</t>
  </si>
  <si>
    <t xml:space="preserve">La2MgFe2(WO6)2</t>
  </si>
  <si>
    <t xml:space="preserve">mp-2231608</t>
  </si>
  <si>
    <t xml:space="preserve">mp-1220995</t>
  </si>
  <si>
    <t xml:space="preserve">NaNdTiNbO6F</t>
  </si>
  <si>
    <t xml:space="preserve">mp-43134</t>
  </si>
  <si>
    <t xml:space="preserve">P4_122</t>
  </si>
  <si>
    <t xml:space="preserve">mp-694918</t>
  </si>
  <si>
    <t xml:space="preserve">NaCa2V3(CoO6)2</t>
  </si>
  <si>
    <t xml:space="preserve">V, Co</t>
  </si>
  <si>
    <t xml:space="preserve">I4_1/acd</t>
  </si>
  <si>
    <t xml:space="preserve">mp-1221057</t>
  </si>
  <si>
    <t xml:space="preserve">NaEuTiNbO6F</t>
  </si>
  <si>
    <t xml:space="preserve">mp-43048</t>
  </si>
  <si>
    <t xml:space="preserve">P4_322</t>
  </si>
  <si>
    <t xml:space="preserve">mp-1221023</t>
  </si>
  <si>
    <t xml:space="preserve">NaGdTiNbO6F</t>
  </si>
  <si>
    <t xml:space="preserve">mp-42981</t>
  </si>
  <si>
    <t xml:space="preserve">mp-1219608</t>
  </si>
  <si>
    <t xml:space="preserve">RbLaTiNbO6F</t>
  </si>
  <si>
    <t xml:space="preserve">mp-1219593</t>
  </si>
  <si>
    <t xml:space="preserve">RbNdTiNbO6F</t>
  </si>
  <si>
    <t xml:space="preserve">mp-1324685</t>
  </si>
  <si>
    <t xml:space="preserve">Y5Mn3(NiO6)3</t>
  </si>
  <si>
    <t xml:space="preserve">mp-686765</t>
  </si>
  <si>
    <t xml:space="preserve">YTi2CdO6F</t>
  </si>
  <si>
    <t xml:space="preserve">Cd, Ti, Y</t>
  </si>
  <si>
    <t xml:space="preserve">Ti</t>
  </si>
  <si>
    <t xml:space="preserve">mp-686330</t>
  </si>
  <si>
    <t xml:space="preserve">Ba10Mg3ZrTa6O30</t>
  </si>
  <si>
    <t xml:space="preserve">Zr, Ta</t>
  </si>
  <si>
    <t xml:space="preserve">mp-1228979</t>
  </si>
  <si>
    <t xml:space="preserve">Ba10Ti8NbNiO30</t>
  </si>
  <si>
    <t xml:space="preserve">Nb, Ni, Ti</t>
  </si>
  <si>
    <t xml:space="preserve">mp-720103</t>
  </si>
  <si>
    <t xml:space="preserve">Ba4La6Mn(Co3O10)3</t>
  </si>
  <si>
    <t xml:space="preserve">P4/mmm</t>
  </si>
  <si>
    <t xml:space="preserve">mp-1228585</t>
  </si>
  <si>
    <t xml:space="preserve">Ba4Ta10CoO30</t>
  </si>
  <si>
    <t xml:space="preserve">mp-1228547</t>
  </si>
  <si>
    <t xml:space="preserve">Ba4Ta10FeO30</t>
  </si>
  <si>
    <t xml:space="preserve">mp-1228660</t>
  </si>
  <si>
    <t xml:space="preserve">Ba4Ta10NiO30</t>
  </si>
  <si>
    <t xml:space="preserve">mp-1228527</t>
  </si>
  <si>
    <t xml:space="preserve">Ba6Nb9CoO30</t>
  </si>
  <si>
    <t xml:space="preserve">mp-695409</t>
  </si>
  <si>
    <t xml:space="preserve">Ba7Na3Ti7Nb3O30</t>
  </si>
  <si>
    <t xml:space="preserve">mp-1228755</t>
  </si>
  <si>
    <t xml:space="preserve">Ba8ZrNb19O36</t>
  </si>
  <si>
    <t xml:space="preserve">mp-557475</t>
  </si>
  <si>
    <t xml:space="preserve">BaBi12Mo4WO34</t>
  </si>
  <si>
    <t xml:space="preserve">P2/c</t>
  </si>
  <si>
    <t xml:space="preserve">mp-1214892</t>
  </si>
  <si>
    <t xml:space="preserve">BaCr2(RuO3)4</t>
  </si>
  <si>
    <t xml:space="preserve">Cr, Ru</t>
  </si>
  <si>
    <t xml:space="preserve">P4</t>
  </si>
  <si>
    <t xml:space="preserve">mp-1021950</t>
  </si>
  <si>
    <t xml:space="preserve">BaNb2(FeO3)4</t>
  </si>
  <si>
    <t xml:space="preserve">mp-19502</t>
  </si>
  <si>
    <t xml:space="preserve">BaTi18Mn3O38</t>
  </si>
  <si>
    <t xml:space="preserve">mp-1048316</t>
  </si>
  <si>
    <t xml:space="preserve">Ba2YCo3O7</t>
  </si>
  <si>
    <t xml:space="preserve">Pmmm</t>
  </si>
  <si>
    <t xml:space="preserve">mp-1048020</t>
  </si>
  <si>
    <t xml:space="preserve">Ba2YCo3O8</t>
  </si>
  <si>
    <t xml:space="preserve">mp-2228739</t>
  </si>
  <si>
    <t xml:space="preserve">Ba2YMgCo3O8</t>
  </si>
  <si>
    <t xml:space="preserve">mp-704461</t>
  </si>
  <si>
    <t xml:space="preserve">Ba3La7Mn(Co3O10)3</t>
  </si>
  <si>
    <t xml:space="preserve">P2/m</t>
  </si>
  <si>
    <t xml:space="preserve">mp-697840</t>
  </si>
  <si>
    <t xml:space="preserve">Ba3La7Ti3Cr7O30</t>
  </si>
  <si>
    <t xml:space="preserve">mp-676975</t>
  </si>
  <si>
    <t xml:space="preserve">Ba3Na7Ti3Nb7O30</t>
  </si>
  <si>
    <t xml:space="preserve">mp-694926</t>
  </si>
  <si>
    <t xml:space="preserve">CaLa9Ti5Cr5O30</t>
  </si>
  <si>
    <t xml:space="preserve">mp-743819</t>
  </si>
  <si>
    <t xml:space="preserve">Ca10Ti8NbFeO30</t>
  </si>
  <si>
    <t xml:space="preserve">Fe, Nb, Ti</t>
  </si>
  <si>
    <t xml:space="preserve">mp-743953</t>
  </si>
  <si>
    <t xml:space="preserve">Ca2La8Ti5Cr5O30</t>
  </si>
  <si>
    <t xml:space="preserve">mp-744126</t>
  </si>
  <si>
    <t xml:space="preserve">Ca3La7Ti5Cr5O30</t>
  </si>
  <si>
    <t xml:space="preserve">mp-695081</t>
  </si>
  <si>
    <t xml:space="preserve">Ca5Ho3Ti5Mn3O24</t>
  </si>
  <si>
    <t xml:space="preserve">mp-743863</t>
  </si>
  <si>
    <t xml:space="preserve">Ca5La7Mn7Ru5O36</t>
  </si>
  <si>
    <t xml:space="preserve">mp-699041</t>
  </si>
  <si>
    <t xml:space="preserve">Ca5Nd5Mn9CrO30</t>
  </si>
  <si>
    <t xml:space="preserve">mp-1227118</t>
  </si>
  <si>
    <t xml:space="preserve">Ca6Co3RhO12</t>
  </si>
  <si>
    <t xml:space="preserve">mp-695477</t>
  </si>
  <si>
    <t xml:space="preserve">Ca6La4Ti5Cr5O30</t>
  </si>
  <si>
    <t xml:space="preserve">mp-532691</t>
  </si>
  <si>
    <t xml:space="preserve">Ca6Nd6Mn11CrO36</t>
  </si>
  <si>
    <t xml:space="preserve">mp-744008</t>
  </si>
  <si>
    <t xml:space="preserve">Ca7La3Ti5Cr5O30</t>
  </si>
  <si>
    <t xml:space="preserve">mp-695500</t>
  </si>
  <si>
    <t xml:space="preserve">Ca8La2Ti5Cr5O30</t>
  </si>
  <si>
    <t xml:space="preserve">mp-744380</t>
  </si>
  <si>
    <t xml:space="preserve">Ca9LaTi4Mn6O30</t>
  </si>
  <si>
    <t xml:space="preserve">mp-706246</t>
  </si>
  <si>
    <t xml:space="preserve">Ca9LaTi6Mn4O30</t>
  </si>
  <si>
    <t xml:space="preserve">mp-694916</t>
  </si>
  <si>
    <t xml:space="preserve">Ca9LaTi8Mn2O30</t>
  </si>
  <si>
    <t xml:space="preserve">mp-694954</t>
  </si>
  <si>
    <t xml:space="preserve">Ca9LaTi9MnO30</t>
  </si>
  <si>
    <t xml:space="preserve">mp-1214052</t>
  </si>
  <si>
    <t xml:space="preserve">CaFe(MoO3)2</t>
  </si>
  <si>
    <t xml:space="preserve">mp-551086</t>
  </si>
  <si>
    <t xml:space="preserve">CrFe(BiO3)2</t>
  </si>
  <si>
    <t xml:space="preserve">mp-1181596</t>
  </si>
  <si>
    <t xml:space="preserve">Fe3Co(BiO3)4</t>
  </si>
  <si>
    <t xml:space="preserve">mp-1225360</t>
  </si>
  <si>
    <t xml:space="preserve">Fe4Co(BiO3)5</t>
  </si>
  <si>
    <t xml:space="preserve">mp-1225635</t>
  </si>
  <si>
    <t xml:space="preserve">mp-1225879</t>
  </si>
  <si>
    <t xml:space="preserve">mp-1225028</t>
  </si>
  <si>
    <t xml:space="preserve">FeCo(BiO3)2</t>
  </si>
  <si>
    <t xml:space="preserve">mp-1223593</t>
  </si>
  <si>
    <t xml:space="preserve">KBa3Y2(Co3O8)2</t>
  </si>
  <si>
    <t xml:space="preserve">I4mm</t>
  </si>
  <si>
    <t xml:space="preserve">mp-743640</t>
  </si>
  <si>
    <t xml:space="preserve">Li3La8Ti9Cr3O36</t>
  </si>
  <si>
    <t xml:space="preserve">mp-1307408</t>
  </si>
  <si>
    <t xml:space="preserve">Li3Y(NiO3)2</t>
  </si>
  <si>
    <t xml:space="preserve">Ni, Y</t>
  </si>
  <si>
    <t xml:space="preserve">mp-1309972</t>
  </si>
  <si>
    <t xml:space="preserve">mp-754436</t>
  </si>
  <si>
    <t xml:space="preserve">mp-1221980</t>
  </si>
  <si>
    <t xml:space="preserve">Mn2Ni(BiO3)3</t>
  </si>
  <si>
    <t xml:space="preserve">mp-545769</t>
  </si>
  <si>
    <t xml:space="preserve">MnCo(BiO3)2</t>
  </si>
  <si>
    <t xml:space="preserve">mp-1221875</t>
  </si>
  <si>
    <t xml:space="preserve">MnFe3(BiO3)4</t>
  </si>
  <si>
    <t xml:space="preserve">mp-1222178</t>
  </si>
  <si>
    <t xml:space="preserve">MnFe4(BiO3)5</t>
  </si>
  <si>
    <t xml:space="preserve">mp-1222245</t>
  </si>
  <si>
    <t xml:space="preserve">mp-23618</t>
  </si>
  <si>
    <t xml:space="preserve">MnNi(BiO3)2</t>
  </si>
  <si>
    <t xml:space="preserve">mp-555839</t>
  </si>
  <si>
    <t xml:space="preserve">mp-562612</t>
  </si>
  <si>
    <t xml:space="preserve">mp-694044</t>
  </si>
  <si>
    <t xml:space="preserve">Na3Ca7Ta3Ti7O30</t>
  </si>
  <si>
    <t xml:space="preserve">mp-695506</t>
  </si>
  <si>
    <t xml:space="preserve">Na3Ca7Ti7Nb3O30</t>
  </si>
  <si>
    <t xml:space="preserve">mp-1173864</t>
  </si>
  <si>
    <t xml:space="preserve">Na3La8Ti9Mn3O36</t>
  </si>
  <si>
    <t xml:space="preserve">mp-1173810</t>
  </si>
  <si>
    <t xml:space="preserve">Na2La7Ti8Mn2O30</t>
  </si>
  <si>
    <t xml:space="preserve">mp-721094</t>
  </si>
  <si>
    <t xml:space="preserve">Na5Ca2Ce3Ti8Nb2O30</t>
  </si>
  <si>
    <t xml:space="preserve">mp-693144</t>
  </si>
  <si>
    <t xml:space="preserve">Na9CaTa9TiO30</t>
  </si>
  <si>
    <t xml:space="preserve">mp-677027</t>
  </si>
  <si>
    <t xml:space="preserve">NaCa9TaTi9O30</t>
  </si>
  <si>
    <t xml:space="preserve">mp-1220715</t>
  </si>
  <si>
    <t xml:space="preserve">Nb3Fe(BiO3)6</t>
  </si>
  <si>
    <t xml:space="preserve">mp-695426</t>
  </si>
  <si>
    <t xml:space="preserve">Na7Ca3Ta7Ti3O30</t>
  </si>
  <si>
    <t xml:space="preserve">mp-1217245</t>
  </si>
  <si>
    <t xml:space="preserve">Ti3Fe(BiO3)5</t>
  </si>
  <si>
    <t xml:space="preserve">mp-1217452</t>
  </si>
  <si>
    <t xml:space="preserve">mp-1217427</t>
  </si>
  <si>
    <t xml:space="preserve">Ti3Fe2(BiO3)6</t>
  </si>
  <si>
    <t xml:space="preserve">mp-1217638</t>
  </si>
  <si>
    <t xml:space="preserve">Ti3Fe3(BiO3)7</t>
  </si>
  <si>
    <t xml:space="preserve">mp-1208356</t>
  </si>
  <si>
    <t xml:space="preserve">Ti4Fe(BiO3)6</t>
  </si>
  <si>
    <t xml:space="preserve">Fmm2</t>
  </si>
  <si>
    <t xml:space="preserve">mp-1217566</t>
  </si>
  <si>
    <t xml:space="preserve">Ti4Nb(BiO3)7</t>
  </si>
  <si>
    <t xml:space="preserve">mp-550745</t>
  </si>
  <si>
    <t xml:space="preserve">TiFe(BiO3)2</t>
  </si>
  <si>
    <t xml:space="preserve">mp-1216832</t>
  </si>
  <si>
    <t xml:space="preserve">TiNb(BiO3)3</t>
  </si>
  <si>
    <t xml:space="preserve">mp-1216863</t>
  </si>
  <si>
    <t xml:space="preserve">mp-1273178</t>
  </si>
  <si>
    <t xml:space="preserve">YCoO3</t>
  </si>
  <si>
    <t xml:space="preserve">mp-1288734</t>
  </si>
  <si>
    <t xml:space="preserve">mp-1330514</t>
  </si>
  <si>
    <t xml:space="preserve">P6_3cm</t>
  </si>
  <si>
    <t xml:space="preserve">mp-1387356</t>
  </si>
  <si>
    <t xml:space="preserve">mp-22668</t>
  </si>
  <si>
    <t xml:space="preserve">mp-1232521</t>
  </si>
  <si>
    <t xml:space="preserve">YCr(BO3)2</t>
  </si>
  <si>
    <t xml:space="preserve">mp-1336975</t>
  </si>
  <si>
    <t xml:space="preserve">YCrO3</t>
  </si>
  <si>
    <t xml:space="preserve">mp-18725</t>
  </si>
  <si>
    <t xml:space="preserve">mp-1037203</t>
  </si>
  <si>
    <t xml:space="preserve">YHfMg30O32</t>
  </si>
  <si>
    <t xml:space="preserve">Hf, Y</t>
  </si>
  <si>
    <t xml:space="preserve">mp-1037237</t>
  </si>
  <si>
    <t xml:space="preserve">mp-1037428</t>
  </si>
  <si>
    <t xml:space="preserve">YMg30CdO32</t>
  </si>
  <si>
    <t xml:space="preserve">Cd, Y</t>
  </si>
  <si>
    <t xml:space="preserve">mp-1037436</t>
  </si>
  <si>
    <t xml:space="preserve">mp-1037750</t>
  </si>
  <si>
    <t xml:space="preserve">YMg30CoO32</t>
  </si>
  <si>
    <t xml:space="preserve">mp-1037752</t>
  </si>
  <si>
    <t xml:space="preserve">mp-1037254</t>
  </si>
  <si>
    <t xml:space="preserve">YMg30CrO32</t>
  </si>
  <si>
    <t xml:space="preserve">mp-1037480</t>
  </si>
  <si>
    <t xml:space="preserve">mp-1037756</t>
  </si>
  <si>
    <t xml:space="preserve">YMg30NiO32</t>
  </si>
  <si>
    <t xml:space="preserve">mp-1037774</t>
  </si>
  <si>
    <t xml:space="preserve">mp-1346989</t>
  </si>
  <si>
    <t xml:space="preserve">YNiO3</t>
  </si>
  <si>
    <t xml:space="preserve">mp-19242</t>
  </si>
  <si>
    <t xml:space="preserve">A (Element)</t>
  </si>
  <si>
    <t xml:space="preserve">B (Metallic radius Å)</t>
  </si>
  <si>
    <t xml:space="preserve">Ca</t>
  </si>
  <si>
    <t xml:space="preserve">Sr</t>
  </si>
  <si>
    <t xml:space="preserve">Ba</t>
  </si>
  <si>
    <t xml:space="preserve">La</t>
  </si>
  <si>
    <t xml:space="preserve">Co</t>
  </si>
  <si>
    <t xml:space="preserve">Fe</t>
  </si>
  <si>
    <t xml:space="preserve">Cr</t>
  </si>
  <si>
    <t xml:space="preserve">Mo</t>
  </si>
  <si>
    <t xml:space="preserve">W</t>
  </si>
  <si>
    <t xml:space="preserve">Re</t>
  </si>
  <si>
    <t xml:space="preserve">Ru</t>
  </si>
  <si>
    <t xml:space="preserve">Ta</t>
  </si>
  <si>
    <t xml:space="preserve">V</t>
  </si>
  <si>
    <t xml:space="preserve">Ir</t>
  </si>
  <si>
    <t xml:space="preserve">Os</t>
  </si>
  <si>
    <t xml:space="preserve">Y</t>
  </si>
  <si>
    <t xml:space="preserve">Nd</t>
  </si>
  <si>
    <t xml:space="preserve">Eu</t>
  </si>
  <si>
    <t xml:space="preserve">Gd</t>
  </si>
  <si>
    <t xml:space="preserve">Dy</t>
  </si>
  <si>
    <t xml:space="preserve">Yb</t>
  </si>
  <si>
    <t xml:space="preserve">Li</t>
  </si>
  <si>
    <t xml:space="preserve">Na</t>
  </si>
  <si>
    <t xml:space="preserve">K</t>
  </si>
  <si>
    <t xml:space="preserve">Rb</t>
  </si>
  <si>
    <t xml:space="preserve">Hf</t>
  </si>
  <si>
    <t xml:space="preserve">Zr</t>
  </si>
  <si>
    <t xml:space="preserve">Cd</t>
  </si>
  <si>
    <t xml:space="preserve">Tc</t>
  </si>
  <si>
    <t xml:space="preserve">Rh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</si>
</sst>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U4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5" activeCellId="0" sqref="E5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2" min="2" style="0" width="16"/>
    <col collapsed="false" customWidth="true" hidden="false" outlineLevel="0" max="7" min="7" style="0" width="24.56"/>
  </cols>
  <sheetData>
    <row r="1" s="1" customFormat="true" ht="63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U1" s="1" t="s">
        <v>18</v>
      </c>
    </row>
    <row r="2" customFormat="false" ht="13.8" hidden="false" customHeight="false" outlineLevel="0" collapsed="false">
      <c r="A2" s="0" t="s">
        <v>19</v>
      </c>
      <c r="B2" s="0" t="s">
        <v>20</v>
      </c>
      <c r="C2" s="0" t="s">
        <v>21</v>
      </c>
      <c r="D2" s="0" t="n">
        <v>-2.463285518</v>
      </c>
      <c r="E2" s="0" t="n">
        <v>0</v>
      </c>
      <c r="F2" s="0" t="n">
        <v>0</v>
      </c>
      <c r="G2" s="0" t="n">
        <v>0.0109821</v>
      </c>
      <c r="H2" s="0" t="s">
        <v>22</v>
      </c>
      <c r="I2" s="2" t="b">
        <f aca="false">TRUE()</f>
        <v>1</v>
      </c>
      <c r="J2" s="0" t="str">
        <f aca="false">IF(AND(CODE(MID(B2,2,1))&gt;=97,CODE(MID(B2,2,1))&lt;=122),LEFT(B2,2),LEFT(B2,1))</f>
        <v>Ba</v>
      </c>
      <c r="K2" s="0" t="n">
        <f aca="false">IF(J2="","",_xlfn.XLOOKUP(TRIM(J2),Metallic_Radius_Table!A:A,Metallic_Radius_Table!B:B))</f>
        <v>2.17</v>
      </c>
      <c r="L2" s="0" t="str">
        <f aca="false">IF(ISNUMBER(SEARCH("La",B2)),"La",
 IF(ISNUMBER(SEARCH("Nd",B2)),"Nd",
 IF(ISNUMBER(SEARCH("Eu",B2)),"Eu",
 IF(ISNUMBER(SEARCH("Gd",B2)),"Gd",""))))</f>
        <v/>
      </c>
      <c r="M2" s="0" t="str">
        <f aca="false">IF(L2="","",_xlfn.XLOOKUP(TRIM(L2),Metallic_Radius_Table!A:A,Metallic_Radius_Table!B:B))</f>
        <v/>
      </c>
      <c r="N2" s="0" t="str">
        <f aca="false">TRIM(LEFT(C2,FIND(",",C2)-1))</f>
        <v>Co</v>
      </c>
      <c r="O2" s="3" t="n">
        <f aca="false">IF(N2="","",_xlfn.XLOOKUP(TRIM(N2),Metallic_Radius_Table!A:A,Metallic_Radius_Table!B:B))</f>
        <v>1.25</v>
      </c>
      <c r="P2" s="0" t="str">
        <f aca="false">TRIM(MID(C2,FIND(",",C2)+1,5))</f>
        <v>Mo</v>
      </c>
      <c r="Q2" s="0" t="n">
        <f aca="false">IF(P2="","",_xlfn.XLOOKUP(TRIM(P2),Metallic_Radius_Table!A:A,Metallic_Radius_Table!B:B))</f>
        <v>1.39</v>
      </c>
      <c r="R2" s="0" t="str">
        <f aca="false">IF(G2&gt;=1,   "Ferromagnetic / Ferrimagnetic",   IF(G2&gt;=0.05,      "Paramagnetic / Weakly magnetic",      "Antiferromagnetic / Diamagnetic"))</f>
        <v>Antiferromagnetic / Diamagnetic</v>
      </c>
      <c r="U2" s="0" t="str">
        <f aca="false">IF(G2&gt;=1,
   "FM → PM (Curie-type)",
   IF(G2&lt;0.05,
      "AFM → PM (Néel-type)",
      "No long-range magnetic transition"))</f>
        <v>AFM → PM (Néel-type)</v>
      </c>
    </row>
    <row r="3" customFormat="false" ht="13.8" hidden="false" customHeight="false" outlineLevel="0" collapsed="false">
      <c r="A3" s="0" t="s">
        <v>23</v>
      </c>
      <c r="B3" s="0" t="s">
        <v>20</v>
      </c>
      <c r="C3" s="0" t="s">
        <v>21</v>
      </c>
      <c r="D3" s="0" t="n">
        <v>-2.454069767</v>
      </c>
      <c r="E3" s="0" t="n">
        <v>0.009215750999985</v>
      </c>
      <c r="F3" s="0" t="n">
        <v>1.274</v>
      </c>
      <c r="G3" s="4" t="n">
        <v>2.1E-006</v>
      </c>
      <c r="H3" s="0" t="s">
        <v>24</v>
      </c>
      <c r="I3" s="2" t="b">
        <f aca="false">TRUE()</f>
        <v>1</v>
      </c>
      <c r="J3" s="0" t="str">
        <f aca="false">IF(AND(CODE(MID(B3,2,1))&gt;=97,CODE(MID(B3,2,1))&lt;=122),LEFT(B3,2),LEFT(B3,1))</f>
        <v>Ba</v>
      </c>
      <c r="K3" s="0" t="n">
        <f aca="false">IF(J3="","",_xlfn.XLOOKUP(TRIM(J3),Metallic_Radius_Table!A:A,Metallic_Radius_Table!B:B))</f>
        <v>2.17</v>
      </c>
      <c r="L3" s="0" t="str">
        <f aca="false">IF(ISNUMBER(SEARCH("La",B3)),"La",
 IF(ISNUMBER(SEARCH("Nd",B3)),"Nd",
 IF(ISNUMBER(SEARCH("Eu",B3)),"Eu",
 IF(ISNUMBER(SEARCH("Gd",B3)),"Gd",""))))</f>
        <v/>
      </c>
      <c r="M3" s="0" t="str">
        <f aca="false">IF(L3="","",_xlfn.XLOOKUP(TRIM(L3),Metallic_Radius_Table!A:A,Metallic_Radius_Table!B:B))</f>
        <v/>
      </c>
      <c r="N3" s="0" t="str">
        <f aca="false">TRIM(LEFT(C3,FIND(",",C3)-1))</f>
        <v>Co</v>
      </c>
      <c r="O3" s="3" t="n">
        <f aca="false">IF(N3="","",_xlfn.XLOOKUP(TRIM(N3),Metallic_Radius_Table!A:A,Metallic_Radius_Table!B:B))</f>
        <v>1.25</v>
      </c>
      <c r="P3" s="0" t="str">
        <f aca="false">TRIM(MID(C3,FIND(",",C3)+1,5))</f>
        <v>Mo</v>
      </c>
      <c r="Q3" s="0" t="n">
        <f aca="false">IF(P3="","",_xlfn.XLOOKUP(TRIM(P3),Metallic_Radius_Table!A:A,Metallic_Radius_Table!B:B))</f>
        <v>1.39</v>
      </c>
      <c r="R3" s="0" t="str">
        <f aca="false">IF(G3&gt;=1,   "Ferromagnetic / Ferrimagnetic",   IF(G3&gt;=0.05,      "Paramagnetic / Weakly magnetic",      "Antiferromagnetic / Diamagnetic"))</f>
        <v>Antiferromagnetic / Diamagnetic</v>
      </c>
      <c r="U3" s="0" t="str">
        <f aca="false">IF(G3&gt;=1,
   "FM → PM (Curie-type)",
   IF(G3&lt;0.05,
      "AFM → PM (Néel-type)",
      "No long-range magnetic transition"))</f>
        <v>AFM → PM (Néel-type)</v>
      </c>
    </row>
    <row r="4" customFormat="false" ht="13.8" hidden="false" customHeight="false" outlineLevel="0" collapsed="false">
      <c r="A4" s="0" t="s">
        <v>25</v>
      </c>
      <c r="B4" s="0" t="s">
        <v>26</v>
      </c>
      <c r="C4" s="0" t="s">
        <v>27</v>
      </c>
      <c r="D4" s="0" t="n">
        <v>-2.4478527995</v>
      </c>
      <c r="E4" s="0" t="n">
        <v>0.04870363225</v>
      </c>
      <c r="F4" s="0" t="n">
        <v>0.198199999999999</v>
      </c>
      <c r="G4" s="4" t="n">
        <v>1.92E-005</v>
      </c>
      <c r="H4" s="0" t="s">
        <v>28</v>
      </c>
      <c r="I4" s="2" t="b">
        <f aca="false">TRUE()</f>
        <v>1</v>
      </c>
      <c r="J4" s="0" t="str">
        <f aca="false">IF(AND(CODE(MID(B4,2,1))&gt;=97,CODE(MID(B4,2,1))&lt;=122),LEFT(B4,2),LEFT(B4,1))</f>
        <v>Ba</v>
      </c>
      <c r="K4" s="0" t="n">
        <f aca="false">IF(J4="","",_xlfn.XLOOKUP(TRIM(J4),Metallic_Radius_Table!A:A,Metallic_Radius_Table!B:B))</f>
        <v>2.17</v>
      </c>
      <c r="L4" s="0" t="str">
        <f aca="false">IF(ISNUMBER(SEARCH("La",B4)),"La",
 IF(ISNUMBER(SEARCH("Nd",B4)),"Nd",
 IF(ISNUMBER(SEARCH("Eu",B4)),"Eu",
 IF(ISNUMBER(SEARCH("Gd",B4)),"Gd",""))))</f>
        <v/>
      </c>
      <c r="M4" s="0" t="str">
        <f aca="false">IF(L4="","",_xlfn.XLOOKUP(TRIM(L4),Metallic_Radius_Table!A:A,Metallic_Radius_Table!B:B))</f>
        <v/>
      </c>
      <c r="N4" s="0" t="str">
        <f aca="false">TRIM(LEFT(C4,FIND(",",C4)-1))</f>
        <v>Re</v>
      </c>
      <c r="O4" s="3" t="n">
        <f aca="false">IF(N4="","",_xlfn.XLOOKUP(TRIM(N4),Metallic_Radius_Table!A:A,Metallic_Radius_Table!B:B))</f>
        <v>1.37</v>
      </c>
      <c r="P4" s="0" t="str">
        <f aca="false">TRIM(MID(C4,FIND(",",C4)+1,5))</f>
        <v>Co</v>
      </c>
      <c r="Q4" s="0" t="n">
        <f aca="false">IF(P4="","",_xlfn.XLOOKUP(TRIM(P4),Metallic_Radius_Table!A:A,Metallic_Radius_Table!B:B))</f>
        <v>1.25</v>
      </c>
      <c r="R4" s="0" t="str">
        <f aca="false">IF(G4&gt;=1,   "Ferromagnetic / Ferrimagnetic",   IF(G4&gt;=0.05,      "Paramagnetic / Weakly magnetic",      "Antiferromagnetic / Diamagnetic"))</f>
        <v>Antiferromagnetic / Diamagnetic</v>
      </c>
      <c r="U4" s="0" t="str">
        <f aca="false">IF(G4&gt;=1,
   "FM → PM (Curie-type)",
   IF(G4&lt;0.05,
      "AFM → PM (Néel-type)",
      "No long-range magnetic transition"))</f>
        <v>AFM → PM (Néel-type)</v>
      </c>
    </row>
    <row r="5" customFormat="false" ht="13.8" hidden="false" customHeight="false" outlineLevel="0" collapsed="false">
      <c r="A5" s="0" t="s">
        <v>29</v>
      </c>
      <c r="B5" s="0" t="s">
        <v>30</v>
      </c>
      <c r="C5" s="0" t="s">
        <v>31</v>
      </c>
      <c r="D5" s="0" t="n">
        <v>-2.09980503266666</v>
      </c>
      <c r="E5" s="0" t="n">
        <v>0.019201509583339</v>
      </c>
      <c r="F5" s="0" t="n">
        <v>0</v>
      </c>
      <c r="G5" s="0" t="n">
        <v>15.6349386</v>
      </c>
      <c r="H5" s="0" t="s">
        <v>32</v>
      </c>
      <c r="I5" s="2" t="b">
        <f aca="false">TRUE()</f>
        <v>1</v>
      </c>
      <c r="J5" s="0" t="str">
        <f aca="false">IF(AND(CODE(MID(B5,2,1))&gt;=97,CODE(MID(B5,2,1))&lt;=122),LEFT(B5,2),LEFT(B5,1))</f>
        <v>Ba</v>
      </c>
      <c r="K5" s="0" t="n">
        <f aca="false">IF(J5="","",_xlfn.XLOOKUP(TRIM(J5),Metallic_Radius_Table!A:A,Metallic_Radius_Table!B:B))</f>
        <v>2.17</v>
      </c>
      <c r="L5" s="0" t="str">
        <f aca="false">IF(ISNUMBER(SEARCH("La",B5)),"La",
 IF(ISNUMBER(SEARCH("Nd",B5)),"Nd",
 IF(ISNUMBER(SEARCH("Eu",B5)),"Eu",
 IF(ISNUMBER(SEARCH("Gd",B5)),"Gd",""))))</f>
        <v/>
      </c>
      <c r="M5" s="0" t="str">
        <f aca="false">IF(L5="","",_xlfn.XLOOKUP(TRIM(L5),Metallic_Radius_Table!A:A,Metallic_Radius_Table!B:B))</f>
        <v/>
      </c>
      <c r="N5" s="0" t="str">
        <f aca="false">TRIM(LEFT(C5,FIND(",",C5)-1))</f>
        <v>Co</v>
      </c>
      <c r="O5" s="3" t="n">
        <f aca="false">IF(N5="","",_xlfn.XLOOKUP(TRIM(N5),Metallic_Radius_Table!A:A,Metallic_Radius_Table!B:B))</f>
        <v>1.25</v>
      </c>
      <c r="P5" s="0" t="str">
        <f aca="false">TRIM(MID(C5,FIND(",",C5)+1,5))</f>
        <v>Ru</v>
      </c>
      <c r="Q5" s="0" t="n">
        <f aca="false">IF(P5="","",_xlfn.XLOOKUP(TRIM(P5),Metallic_Radius_Table!A:A,Metallic_Radius_Table!B:B))</f>
        <v>1.34</v>
      </c>
      <c r="R5" s="0" t="str">
        <f aca="false">IF(G5&gt;=1,   "Ferromagnetic / Ferrimagnetic",   IF(G5&gt;=0.05,      "Paramagnetic / Weakly magnetic",      "Antiferromagnetic / Diamagnetic"))</f>
        <v>Ferromagnetic / Ferrimagnetic</v>
      </c>
      <c r="U5" s="0" t="str">
        <f aca="false">IF(G5&gt;=1,
   "FM → PM (Curie-type)",
   IF(G5&lt;0.05,
      "AFM → PM (Néel-type)",
      "No long-range magnetic transition"))</f>
        <v>FM → PM (Curie-type)</v>
      </c>
    </row>
    <row r="6" customFormat="false" ht="13.8" hidden="false" customHeight="false" outlineLevel="0" collapsed="false">
      <c r="A6" s="0" t="s">
        <v>33</v>
      </c>
      <c r="B6" s="0" t="s">
        <v>34</v>
      </c>
      <c r="C6" s="0" t="s">
        <v>35</v>
      </c>
      <c r="D6" s="0" t="n">
        <v>-2.565399248</v>
      </c>
      <c r="E6" s="0" t="n">
        <v>0.010751375500013</v>
      </c>
      <c r="F6" s="0" t="n">
        <v>1.84269999999999</v>
      </c>
      <c r="G6" s="0" t="n">
        <v>3.0001636</v>
      </c>
      <c r="H6" s="0" t="s">
        <v>24</v>
      </c>
      <c r="I6" s="2" t="b">
        <f aca="false">TRUE()</f>
        <v>1</v>
      </c>
      <c r="J6" s="0" t="str">
        <f aca="false">IF(AND(CODE(MID(B6,2,1))&gt;=97,CODE(MID(B6,2,1))&lt;=122),LEFT(B6,2),LEFT(B6,1))</f>
        <v>Ba</v>
      </c>
      <c r="K6" s="0" t="n">
        <f aca="false">IF(J6="","",_xlfn.XLOOKUP(TRIM(J6),Metallic_Radius_Table!A:A,Metallic_Radius_Table!B:B))</f>
        <v>2.17</v>
      </c>
      <c r="L6" s="0" t="str">
        <f aca="false">IF(ISNUMBER(SEARCH("La",B6)),"La",
 IF(ISNUMBER(SEARCH("Nd",B6)),"Nd",
 IF(ISNUMBER(SEARCH("Eu",B6)),"Eu",
 IF(ISNUMBER(SEARCH("Gd",B6)),"Gd",""))))</f>
        <v/>
      </c>
      <c r="M6" s="0" t="str">
        <f aca="false">IF(L6="","",_xlfn.XLOOKUP(TRIM(L6),Metallic_Radius_Table!A:A,Metallic_Radius_Table!B:B))</f>
        <v/>
      </c>
      <c r="N6" s="0" t="str">
        <f aca="false">TRIM(LEFT(C6,FIND(",",C6)-1))</f>
        <v>Co</v>
      </c>
      <c r="O6" s="3" t="n">
        <f aca="false">IF(N6="","",_xlfn.XLOOKUP(TRIM(N6),Metallic_Radius_Table!A:A,Metallic_Radius_Table!B:B))</f>
        <v>1.25</v>
      </c>
      <c r="P6" s="0" t="str">
        <f aca="false">TRIM(MID(C6,FIND(",",C6)+1,5))</f>
        <v>W</v>
      </c>
      <c r="Q6" s="0" t="n">
        <f aca="false">IF(P6="","",_xlfn.XLOOKUP(TRIM(P6),Metallic_Radius_Table!A:A,Metallic_Radius_Table!B:B))</f>
        <v>1.41</v>
      </c>
      <c r="R6" s="0" t="str">
        <f aca="false">IF(G6&gt;=1,   "Ferromagnetic / Ferrimagnetic",   IF(G6&gt;=0.05,      "Paramagnetic / Weakly magnetic",      "Antiferromagnetic / Diamagnetic"))</f>
        <v>Ferromagnetic / Ferrimagnetic</v>
      </c>
      <c r="U6" s="0" t="str">
        <f aca="false">IF(G6&gt;=1,
   "FM → PM (Curie-type)",
   IF(G6&lt;0.05,
      "AFM → PM (Néel-type)",
      "No long-range magnetic transition"))</f>
        <v>FM → PM (Curie-type)</v>
      </c>
    </row>
    <row r="7" customFormat="false" ht="13.8" hidden="false" customHeight="false" outlineLevel="0" collapsed="false">
      <c r="A7" s="0" t="s">
        <v>36</v>
      </c>
      <c r="B7" s="0" t="s">
        <v>34</v>
      </c>
      <c r="C7" s="0" t="s">
        <v>35</v>
      </c>
      <c r="D7" s="0" t="n">
        <v>-2.5761506235</v>
      </c>
      <c r="E7" s="0" t="n">
        <v>0</v>
      </c>
      <c r="F7" s="0" t="n">
        <v>0</v>
      </c>
      <c r="G7" s="0" t="n">
        <v>6.000052</v>
      </c>
      <c r="H7" s="0" t="s">
        <v>28</v>
      </c>
      <c r="I7" s="2" t="b">
        <f aca="false">TRUE()</f>
        <v>1</v>
      </c>
      <c r="J7" s="0" t="str">
        <f aca="false">IF(AND(CODE(MID(B7,2,1))&gt;=97,CODE(MID(B7,2,1))&lt;=122),LEFT(B7,2),LEFT(B7,1))</f>
        <v>Ba</v>
      </c>
      <c r="K7" s="0" t="n">
        <f aca="false">IF(J7="","",_xlfn.XLOOKUP(TRIM(J7),Metallic_Radius_Table!A:A,Metallic_Radius_Table!B:B))</f>
        <v>2.17</v>
      </c>
      <c r="L7" s="0" t="str">
        <f aca="false">IF(ISNUMBER(SEARCH("La",B7)),"La",
 IF(ISNUMBER(SEARCH("Nd",B7)),"Nd",
 IF(ISNUMBER(SEARCH("Eu",B7)),"Eu",
 IF(ISNUMBER(SEARCH("Gd",B7)),"Gd",""))))</f>
        <v/>
      </c>
      <c r="M7" s="0" t="str">
        <f aca="false">IF(L7="","",_xlfn.XLOOKUP(TRIM(L7),Metallic_Radius_Table!A:A,Metallic_Radius_Table!B:B))</f>
        <v/>
      </c>
      <c r="N7" s="0" t="str">
        <f aca="false">TRIM(LEFT(C7,FIND(",",C7)-1))</f>
        <v>Co</v>
      </c>
      <c r="O7" s="3" t="n">
        <f aca="false">IF(N7="","",_xlfn.XLOOKUP(TRIM(N7),Metallic_Radius_Table!A:A,Metallic_Radius_Table!B:B))</f>
        <v>1.25</v>
      </c>
      <c r="P7" s="0" t="str">
        <f aca="false">TRIM(MID(C7,FIND(",",C7)+1,5))</f>
        <v>W</v>
      </c>
      <c r="Q7" s="0" t="n">
        <f aca="false">IF(P7="","",_xlfn.XLOOKUP(TRIM(P7),Metallic_Radius_Table!A:A,Metallic_Radius_Table!B:B))</f>
        <v>1.41</v>
      </c>
      <c r="R7" s="0" t="str">
        <f aca="false">IF(G7&gt;=1,   "Ferromagnetic / Ferrimagnetic",   IF(G7&gt;=0.05,      "Paramagnetic / Weakly magnetic",      "Antiferromagnetic / Diamagnetic"))</f>
        <v>Ferromagnetic / Ferrimagnetic</v>
      </c>
      <c r="U7" s="0" t="str">
        <f aca="false">IF(G7&gt;=1,
   "FM → PM (Curie-type)",
   IF(G7&lt;0.05,
      "AFM → PM (Néel-type)",
      "No long-range magnetic transition"))</f>
        <v>FM → PM (Curie-type)</v>
      </c>
    </row>
    <row r="8" customFormat="false" ht="13.8" hidden="false" customHeight="false" outlineLevel="0" collapsed="false">
      <c r="A8" s="0" t="s">
        <v>37</v>
      </c>
      <c r="B8" s="0" t="s">
        <v>38</v>
      </c>
      <c r="C8" s="0" t="s">
        <v>39</v>
      </c>
      <c r="D8" s="0" t="n">
        <v>-2.66020709599999</v>
      </c>
      <c r="E8" s="0" t="n">
        <v>0</v>
      </c>
      <c r="F8" s="0" t="n">
        <v>0</v>
      </c>
      <c r="G8" s="4" t="n">
        <v>3E-007</v>
      </c>
      <c r="H8" s="0" t="s">
        <v>24</v>
      </c>
      <c r="I8" s="2" t="b">
        <f aca="false">TRUE()</f>
        <v>1</v>
      </c>
      <c r="J8" s="0" t="str">
        <f aca="false">IF(AND(CODE(MID(B8,2,1))&gt;=97,CODE(MID(B8,2,1))&lt;=122),LEFT(B8,2),LEFT(B8,1))</f>
        <v>Ba</v>
      </c>
      <c r="K8" s="0" t="n">
        <f aca="false">IF(J8="","",_xlfn.XLOOKUP(TRIM(J8),Metallic_Radius_Table!A:A,Metallic_Radius_Table!B:B))</f>
        <v>2.17</v>
      </c>
      <c r="L8" s="0" t="str">
        <f aca="false">IF(ISNUMBER(SEARCH("La",B8)),"La",
 IF(ISNUMBER(SEARCH("Nd",B8)),"Nd",
 IF(ISNUMBER(SEARCH("Eu",B8)),"Eu",
 IF(ISNUMBER(SEARCH("Gd",B8)),"Gd",""))))</f>
        <v/>
      </c>
      <c r="M8" s="0" t="str">
        <f aca="false">IF(L8="","",_xlfn.XLOOKUP(TRIM(L8),Metallic_Radius_Table!A:A,Metallic_Radius_Table!B:B))</f>
        <v/>
      </c>
      <c r="N8" s="0" t="str">
        <f aca="false">TRIM(LEFT(C8,FIND(",",C8)-1))</f>
        <v>Cr</v>
      </c>
      <c r="O8" s="3" t="n">
        <f aca="false">IF(N8="","",_xlfn.XLOOKUP(TRIM(N8),Metallic_Radius_Table!A:A,Metallic_Radius_Table!B:B))</f>
        <v>1.28</v>
      </c>
      <c r="P8" s="0" t="str">
        <f aca="false">TRIM(MID(C8,FIND(",",C8)+1,5))</f>
        <v>Mo</v>
      </c>
      <c r="Q8" s="0" t="n">
        <f aca="false">IF(P8="","",_xlfn.XLOOKUP(TRIM(P8),Metallic_Radius_Table!A:A,Metallic_Radius_Table!B:B))</f>
        <v>1.39</v>
      </c>
      <c r="R8" s="0" t="str">
        <f aca="false">IF(G8&gt;=1,   "Ferromagnetic / Ferrimagnetic",   IF(G8&gt;=0.05,      "Paramagnetic / Weakly magnetic",      "Antiferromagnetic / Diamagnetic"))</f>
        <v>Antiferromagnetic / Diamagnetic</v>
      </c>
      <c r="U8" s="0" t="str">
        <f aca="false">IF(G8&gt;=1,
   "FM → PM (Curie-type)",
   IF(G8&lt;0.05,
      "AFM → PM (Néel-type)",
      "No long-range magnetic transition"))</f>
        <v>AFM → PM (Néel-type)</v>
      </c>
    </row>
    <row r="9" customFormat="false" ht="13.8" hidden="false" customHeight="false" outlineLevel="0" collapsed="false">
      <c r="A9" s="0" t="s">
        <v>40</v>
      </c>
      <c r="B9" s="0" t="s">
        <v>41</v>
      </c>
      <c r="C9" s="0" t="s">
        <v>42</v>
      </c>
      <c r="D9" s="0" t="n">
        <v>-2.500273185</v>
      </c>
      <c r="E9" s="0" t="n">
        <v>0.000837423000007</v>
      </c>
      <c r="F9" s="0" t="n">
        <v>0.864099999999999</v>
      </c>
      <c r="G9" s="4" t="n">
        <v>3.2E-006</v>
      </c>
      <c r="H9" s="0" t="s">
        <v>43</v>
      </c>
      <c r="I9" s="2" t="b">
        <f aca="false">TRUE()</f>
        <v>1</v>
      </c>
      <c r="J9" s="0" t="str">
        <f aca="false">IF(AND(CODE(MID(B9,2,1))&gt;=97,CODE(MID(B9,2,1))&lt;=122),LEFT(B9,2),LEFT(B9,1))</f>
        <v>Ba</v>
      </c>
      <c r="K9" s="0" t="n">
        <f aca="false">IF(J9="","",_xlfn.XLOOKUP(TRIM(J9),Metallic_Radius_Table!A:A,Metallic_Radius_Table!B:B))</f>
        <v>2.17</v>
      </c>
      <c r="L9" s="0" t="str">
        <f aca="false">IF(ISNUMBER(SEARCH("La",B9)),"La",
 IF(ISNUMBER(SEARCH("Nd",B9)),"Nd",
 IF(ISNUMBER(SEARCH("Eu",B9)),"Eu",
 IF(ISNUMBER(SEARCH("Gd",B9)),"Gd",""))))</f>
        <v/>
      </c>
      <c r="M9" s="0" t="str">
        <f aca="false">IF(L9="","",_xlfn.XLOOKUP(TRIM(L9),Metallic_Radius_Table!A:A,Metallic_Radius_Table!B:B))</f>
        <v/>
      </c>
      <c r="N9" s="0" t="str">
        <f aca="false">TRIM(LEFT(C9,FIND(",",C9)-1))</f>
        <v>Fe</v>
      </c>
      <c r="O9" s="3" t="n">
        <f aca="false">IF(N9="","",_xlfn.XLOOKUP(TRIM(N9),Metallic_Radius_Table!A:A,Metallic_Radius_Table!B:B))</f>
        <v>1.26</v>
      </c>
      <c r="P9" s="0" t="str">
        <f aca="false">TRIM(MID(C9,FIND(",",C9)+1,5))</f>
        <v>Mo</v>
      </c>
      <c r="Q9" s="0" t="n">
        <f aca="false">IF(P9="","",_xlfn.XLOOKUP(TRIM(P9),Metallic_Radius_Table!A:A,Metallic_Radius_Table!B:B))</f>
        <v>1.39</v>
      </c>
      <c r="R9" s="0" t="str">
        <f aca="false">IF(G9&gt;=1,   "Ferromagnetic / Ferrimagnetic",   IF(G9&gt;=0.05,      "Paramagnetic / Weakly magnetic",      "Antiferromagnetic / Diamagnetic"))</f>
        <v>Antiferromagnetic / Diamagnetic</v>
      </c>
      <c r="U9" s="0" t="str">
        <f aca="false">IF(G9&gt;=1,
   "FM → PM (Curie-type)",
   IF(G9&lt;0.05,
      "AFM → PM (Néel-type)",
      "No long-range magnetic transition"))</f>
        <v>AFM → PM (Néel-type)</v>
      </c>
    </row>
    <row r="10" customFormat="false" ht="13.8" hidden="false" customHeight="false" outlineLevel="0" collapsed="false">
      <c r="A10" s="0" t="s">
        <v>44</v>
      </c>
      <c r="B10" s="0" t="s">
        <v>41</v>
      </c>
      <c r="C10" s="0" t="s">
        <v>42</v>
      </c>
      <c r="D10" s="0" t="n">
        <v>-2.50098259249999</v>
      </c>
      <c r="E10" s="0" t="n">
        <v>0.000128015500007</v>
      </c>
      <c r="F10" s="0" t="n">
        <v>0.7715</v>
      </c>
      <c r="G10" s="0" t="n">
        <v>2.00003</v>
      </c>
      <c r="H10" s="0" t="s">
        <v>45</v>
      </c>
      <c r="I10" s="2" t="b">
        <f aca="false">TRUE()</f>
        <v>1</v>
      </c>
      <c r="J10" s="0" t="str">
        <f aca="false">IF(AND(CODE(MID(B10,2,1))&gt;=97,CODE(MID(B10,2,1))&lt;=122),LEFT(B10,2),LEFT(B10,1))</f>
        <v>Ba</v>
      </c>
      <c r="K10" s="0" t="n">
        <f aca="false">IF(J10="","",_xlfn.XLOOKUP(TRIM(J10),Metallic_Radius_Table!A:A,Metallic_Radius_Table!B:B))</f>
        <v>2.17</v>
      </c>
      <c r="L10" s="0" t="str">
        <f aca="false">IF(ISNUMBER(SEARCH("La",B10)),"La",
 IF(ISNUMBER(SEARCH("Nd",B10)),"Nd",
 IF(ISNUMBER(SEARCH("Eu",B10)),"Eu",
 IF(ISNUMBER(SEARCH("Gd",B10)),"Gd",""))))</f>
        <v/>
      </c>
      <c r="M10" s="0" t="str">
        <f aca="false">IF(L10="","",_xlfn.XLOOKUP(TRIM(L10),Metallic_Radius_Table!A:A,Metallic_Radius_Table!B:B))</f>
        <v/>
      </c>
      <c r="N10" s="0" t="str">
        <f aca="false">TRIM(LEFT(C10,FIND(",",C10)-1))</f>
        <v>Fe</v>
      </c>
      <c r="O10" s="3" t="n">
        <f aca="false">IF(N10="","",_xlfn.XLOOKUP(TRIM(N10),Metallic_Radius_Table!A:A,Metallic_Radius_Table!B:B))</f>
        <v>1.26</v>
      </c>
      <c r="P10" s="0" t="str">
        <f aca="false">TRIM(MID(C10,FIND(",",C10)+1,5))</f>
        <v>Mo</v>
      </c>
      <c r="Q10" s="0" t="n">
        <f aca="false">IF(P10="","",_xlfn.XLOOKUP(TRIM(P10),Metallic_Radius_Table!A:A,Metallic_Radius_Table!B:B))</f>
        <v>1.39</v>
      </c>
      <c r="R10" s="0" t="str">
        <f aca="false">IF(G10&gt;=1,   "Ferromagnetic / Ferrimagnetic",   IF(G10&gt;=0.05,      "Paramagnetic / Weakly magnetic",      "Antiferromagnetic / Diamagnetic"))</f>
        <v>Ferromagnetic / Ferrimagnetic</v>
      </c>
      <c r="U10" s="0" t="str">
        <f aca="false">IF(G10&gt;=1,
   "FM → PM (Curie-type)",
   IF(G10&lt;0.05,
      "AFM → PM (Néel-type)",
      "No long-range magnetic transition"))</f>
        <v>FM → PM (Curie-type)</v>
      </c>
    </row>
    <row r="11" customFormat="false" ht="13.8" hidden="false" customHeight="false" outlineLevel="0" collapsed="false">
      <c r="A11" s="0" t="s">
        <v>46</v>
      </c>
      <c r="B11" s="0" t="s">
        <v>41</v>
      </c>
      <c r="C11" s="0" t="s">
        <v>42</v>
      </c>
      <c r="D11" s="0" t="n">
        <v>-2.501110608</v>
      </c>
      <c r="E11" s="0" t="n">
        <v>0</v>
      </c>
      <c r="F11" s="0" t="n">
        <v>0.9037</v>
      </c>
      <c r="G11" s="0" t="n">
        <v>2.00003</v>
      </c>
      <c r="H11" s="0" t="s">
        <v>45</v>
      </c>
      <c r="I11" s="2" t="b">
        <f aca="false">TRUE()</f>
        <v>1</v>
      </c>
      <c r="J11" s="0" t="str">
        <f aca="false">IF(AND(CODE(MID(B11,2,1))&gt;=97,CODE(MID(B11,2,1))&lt;=122),LEFT(B11,2),LEFT(B11,1))</f>
        <v>Ba</v>
      </c>
      <c r="K11" s="0" t="n">
        <f aca="false">IF(J11="","",_xlfn.XLOOKUP(TRIM(J11),Metallic_Radius_Table!A:A,Metallic_Radius_Table!B:B))</f>
        <v>2.17</v>
      </c>
      <c r="L11" s="0" t="str">
        <f aca="false">IF(ISNUMBER(SEARCH("La",B11)),"La",
 IF(ISNUMBER(SEARCH("Nd",B11)),"Nd",
 IF(ISNUMBER(SEARCH("Eu",B11)),"Eu",
 IF(ISNUMBER(SEARCH("Gd",B11)),"Gd",""))))</f>
        <v/>
      </c>
      <c r="M11" s="0" t="str">
        <f aca="false">IF(L11="","",_xlfn.XLOOKUP(TRIM(L11),Metallic_Radius_Table!A:A,Metallic_Radius_Table!B:B))</f>
        <v/>
      </c>
      <c r="N11" s="0" t="str">
        <f aca="false">TRIM(LEFT(C11,FIND(",",C11)-1))</f>
        <v>Fe</v>
      </c>
      <c r="O11" s="3" t="n">
        <f aca="false">IF(N11="","",_xlfn.XLOOKUP(TRIM(N11),Metallic_Radius_Table!A:A,Metallic_Radius_Table!B:B))</f>
        <v>1.26</v>
      </c>
      <c r="P11" s="0" t="str">
        <f aca="false">TRIM(MID(C11,FIND(",",C11)+1,5))</f>
        <v>Mo</v>
      </c>
      <c r="Q11" s="0" t="n">
        <f aca="false">IF(P11="","",_xlfn.XLOOKUP(TRIM(P11),Metallic_Radius_Table!A:A,Metallic_Radius_Table!B:B))</f>
        <v>1.39</v>
      </c>
      <c r="R11" s="0" t="str">
        <f aca="false">IF(G11&gt;=1,   "Ferromagnetic / Ferrimagnetic",   IF(G11&gt;=0.05,      "Paramagnetic / Weakly magnetic",      "Antiferromagnetic / Diamagnetic"))</f>
        <v>Ferromagnetic / Ferrimagnetic</v>
      </c>
      <c r="U11" s="0" t="str">
        <f aca="false">IF(G11&gt;=1,
   "FM → PM (Curie-type)",
   IF(G11&lt;0.05,
      "AFM → PM (Néel-type)",
      "No long-range magnetic transition"))</f>
        <v>FM → PM (Curie-type)</v>
      </c>
    </row>
    <row r="12" customFormat="false" ht="13.8" hidden="false" customHeight="false" outlineLevel="0" collapsed="false">
      <c r="A12" s="0" t="s">
        <v>47</v>
      </c>
      <c r="B12" s="0" t="s">
        <v>41</v>
      </c>
      <c r="C12" s="0" t="s">
        <v>42</v>
      </c>
      <c r="D12" s="0" t="n">
        <v>-2.497820122</v>
      </c>
      <c r="E12" s="0" t="n">
        <v>0.003290486000007</v>
      </c>
      <c r="F12" s="0" t="n">
        <v>0</v>
      </c>
      <c r="G12" s="0" t="n">
        <v>3.99999989999999</v>
      </c>
      <c r="H12" s="0" t="s">
        <v>43</v>
      </c>
      <c r="I12" s="2" t="b">
        <f aca="false">TRUE()</f>
        <v>1</v>
      </c>
      <c r="J12" s="0" t="str">
        <f aca="false">IF(AND(CODE(MID(B12,2,1))&gt;=97,CODE(MID(B12,2,1))&lt;=122),LEFT(B12,2),LEFT(B12,1))</f>
        <v>Ba</v>
      </c>
      <c r="K12" s="0" t="n">
        <f aca="false">IF(J12="","",_xlfn.XLOOKUP(TRIM(J12),Metallic_Radius_Table!A:A,Metallic_Radius_Table!B:B))</f>
        <v>2.17</v>
      </c>
      <c r="L12" s="0" t="str">
        <f aca="false">IF(ISNUMBER(SEARCH("La",B12)),"La",
 IF(ISNUMBER(SEARCH("Nd",B12)),"Nd",
 IF(ISNUMBER(SEARCH("Eu",B12)),"Eu",
 IF(ISNUMBER(SEARCH("Gd",B12)),"Gd",""))))</f>
        <v/>
      </c>
      <c r="M12" s="0" t="str">
        <f aca="false">IF(L12="","",_xlfn.XLOOKUP(TRIM(L12),Metallic_Radius_Table!A:A,Metallic_Radius_Table!B:B))</f>
        <v/>
      </c>
      <c r="N12" s="0" t="str">
        <f aca="false">TRIM(LEFT(C12,FIND(",",C12)-1))</f>
        <v>Fe</v>
      </c>
      <c r="O12" s="3" t="n">
        <f aca="false">IF(N12="","",_xlfn.XLOOKUP(TRIM(N12),Metallic_Radius_Table!A:A,Metallic_Radius_Table!B:B))</f>
        <v>1.26</v>
      </c>
      <c r="P12" s="0" t="str">
        <f aca="false">TRIM(MID(C12,FIND(",",C12)+1,5))</f>
        <v>Mo</v>
      </c>
      <c r="Q12" s="0" t="n">
        <f aca="false">IF(P12="","",_xlfn.XLOOKUP(TRIM(P12),Metallic_Radius_Table!A:A,Metallic_Radius_Table!B:B))</f>
        <v>1.39</v>
      </c>
      <c r="R12" s="0" t="str">
        <f aca="false">IF(G12&gt;=1,   "Ferromagnetic / Ferrimagnetic",   IF(G12&gt;=0.05,      "Paramagnetic / Weakly magnetic",      "Antiferromagnetic / Diamagnetic"))</f>
        <v>Ferromagnetic / Ferrimagnetic</v>
      </c>
      <c r="U12" s="0" t="str">
        <f aca="false">IF(G12&gt;=1,
   "FM → PM (Curie-type)",
   IF(G12&lt;0.05,
      "AFM → PM (Néel-type)",
      "No long-range magnetic transition"))</f>
        <v>FM → PM (Curie-type)</v>
      </c>
    </row>
    <row r="13" customFormat="false" ht="13.8" hidden="false" customHeight="false" outlineLevel="0" collapsed="false">
      <c r="A13" s="0" t="s">
        <v>48</v>
      </c>
      <c r="B13" s="0" t="s">
        <v>49</v>
      </c>
      <c r="C13" s="0" t="s">
        <v>50</v>
      </c>
      <c r="D13" s="0" t="n">
        <v>-2.48591545325</v>
      </c>
      <c r="E13" s="0" t="n">
        <v>0.003049289499999</v>
      </c>
      <c r="F13" s="0" t="n">
        <v>0</v>
      </c>
      <c r="G13" s="0" t="n">
        <v>3.000002</v>
      </c>
      <c r="H13" s="0" t="s">
        <v>22</v>
      </c>
      <c r="I13" s="2" t="b">
        <f aca="false">TRUE()</f>
        <v>1</v>
      </c>
      <c r="J13" s="0" t="str">
        <f aca="false">IF(AND(CODE(MID(B13,2,1))&gt;=97,CODE(MID(B13,2,1))&lt;=122),LEFT(B13,2),LEFT(B13,1))</f>
        <v>Ba</v>
      </c>
      <c r="K13" s="0" t="n">
        <f aca="false">IF(J13="","",_xlfn.XLOOKUP(TRIM(J13),Metallic_Radius_Table!A:A,Metallic_Radius_Table!B:B))</f>
        <v>2.17</v>
      </c>
      <c r="L13" s="0" t="str">
        <f aca="false">IF(ISNUMBER(SEARCH("La",B13)),"La",
 IF(ISNUMBER(SEARCH("Nd",B13)),"Nd",
 IF(ISNUMBER(SEARCH("Eu",B13)),"Eu",
 IF(ISNUMBER(SEARCH("Gd",B13)),"Gd",""))))</f>
        <v/>
      </c>
      <c r="M13" s="0" t="str">
        <f aca="false">IF(L13="","",_xlfn.XLOOKUP(TRIM(L13),Metallic_Radius_Table!A:A,Metallic_Radius_Table!B:B))</f>
        <v/>
      </c>
      <c r="N13" s="0" t="str">
        <f aca="false">TRIM(LEFT(C13,FIND(",",C13)-1))</f>
        <v>Re</v>
      </c>
      <c r="O13" s="3" t="n">
        <f aca="false">IF(N13="","",_xlfn.XLOOKUP(TRIM(N13),Metallic_Radius_Table!A:A,Metallic_Radius_Table!B:B))</f>
        <v>1.37</v>
      </c>
      <c r="P13" s="0" t="str">
        <f aca="false">TRIM(MID(C13,FIND(",",C13)+1,5))</f>
        <v>Fe</v>
      </c>
      <c r="Q13" s="0" t="n">
        <f aca="false">IF(P13="","",_xlfn.XLOOKUP(TRIM(P13),Metallic_Radius_Table!A:A,Metallic_Radius_Table!B:B))</f>
        <v>1.26</v>
      </c>
      <c r="R13" s="0" t="str">
        <f aca="false">IF(G13&gt;=1,   "Ferromagnetic / Ferrimagnetic",   IF(G13&gt;=0.05,      "Paramagnetic / Weakly magnetic",      "Antiferromagnetic / Diamagnetic"))</f>
        <v>Ferromagnetic / Ferrimagnetic</v>
      </c>
      <c r="U13" s="0" t="str">
        <f aca="false">IF(G13&gt;=1,
   "FM → PM (Curie-type)",
   IF(G13&lt;0.05,
      "AFM → PM (Néel-type)",
      "No long-range magnetic transition"))</f>
        <v>FM → PM (Curie-type)</v>
      </c>
    </row>
    <row r="14" customFormat="false" ht="13.8" hidden="false" customHeight="false" outlineLevel="0" collapsed="false">
      <c r="A14" s="0" t="s">
        <v>51</v>
      </c>
      <c r="B14" s="0" t="s">
        <v>52</v>
      </c>
      <c r="C14" s="0" t="s">
        <v>53</v>
      </c>
      <c r="D14" s="0" t="n">
        <v>-2.639823302</v>
      </c>
      <c r="E14" s="0" t="n">
        <v>0.000347599500006</v>
      </c>
      <c r="F14" s="0" t="n">
        <v>2.50619999999999</v>
      </c>
      <c r="G14" s="4" t="n">
        <v>9.33E-005</v>
      </c>
      <c r="H14" s="0" t="s">
        <v>54</v>
      </c>
      <c r="I14" s="2" t="b">
        <f aca="false">TRUE()</f>
        <v>1</v>
      </c>
      <c r="J14" s="0" t="str">
        <f aca="false">IF(AND(CODE(MID(B14,2,1))&gt;=97,CODE(MID(B14,2,1))&lt;=122),LEFT(B14,2),LEFT(B14,1))</f>
        <v>Ba</v>
      </c>
      <c r="K14" s="0" t="n">
        <f aca="false">IF(J14="","",_xlfn.XLOOKUP(TRIM(J14),Metallic_Radius_Table!A:A,Metallic_Radius_Table!B:B))</f>
        <v>2.17</v>
      </c>
      <c r="L14" s="0" t="str">
        <f aca="false">IF(ISNUMBER(SEARCH("La",B14)),"La",
 IF(ISNUMBER(SEARCH("Nd",B14)),"Nd",
 IF(ISNUMBER(SEARCH("Eu",B14)),"Eu",
 IF(ISNUMBER(SEARCH("Gd",B14)),"Gd",""))))</f>
        <v/>
      </c>
      <c r="M14" s="0" t="str">
        <f aca="false">IF(L14="","",_xlfn.XLOOKUP(TRIM(L14),Metallic_Radius_Table!A:A,Metallic_Radius_Table!B:B))</f>
        <v/>
      </c>
      <c r="N14" s="0" t="str">
        <f aca="false">TRIM(LEFT(C14,FIND(",",C14)-1))</f>
        <v>Fe</v>
      </c>
      <c r="O14" s="3" t="n">
        <f aca="false">IF(N14="","",_xlfn.XLOOKUP(TRIM(N14),Metallic_Radius_Table!A:A,Metallic_Radius_Table!B:B))</f>
        <v>1.26</v>
      </c>
      <c r="P14" s="0" t="str">
        <f aca="false">TRIM(MID(C14,FIND(",",C14)+1,5))</f>
        <v>W</v>
      </c>
      <c r="Q14" s="0" t="n">
        <f aca="false">IF(P14="","",_xlfn.XLOOKUP(TRIM(P14),Metallic_Radius_Table!A:A,Metallic_Radius_Table!B:B))</f>
        <v>1.41</v>
      </c>
      <c r="R14" s="0" t="str">
        <f aca="false">IF(G14&gt;=1,   "Ferromagnetic / Ferrimagnetic",   IF(G14&gt;=0.05,      "Paramagnetic / Weakly magnetic",      "Antiferromagnetic / Diamagnetic"))</f>
        <v>Antiferromagnetic / Diamagnetic</v>
      </c>
      <c r="U14" s="0" t="str">
        <f aca="false">IF(G14&gt;=1,
   "FM → PM (Curie-type)",
   IF(G14&lt;0.05,
      "AFM → PM (Néel-type)",
      "No long-range magnetic transition"))</f>
        <v>AFM → PM (Néel-type)</v>
      </c>
    </row>
    <row r="15" customFormat="false" ht="13.8" hidden="false" customHeight="false" outlineLevel="0" collapsed="false">
      <c r="A15" s="0" t="s">
        <v>55</v>
      </c>
      <c r="B15" s="0" t="s">
        <v>52</v>
      </c>
      <c r="C15" s="0" t="s">
        <v>53</v>
      </c>
      <c r="D15" s="0" t="n">
        <v>-2.6401709015</v>
      </c>
      <c r="E15" s="0" t="n">
        <v>0</v>
      </c>
      <c r="F15" s="0" t="n">
        <v>0</v>
      </c>
      <c r="G15" s="4" t="n">
        <v>7.82E-005</v>
      </c>
      <c r="H15" s="0" t="s">
        <v>24</v>
      </c>
      <c r="I15" s="2" t="b">
        <f aca="false">TRUE()</f>
        <v>1</v>
      </c>
      <c r="J15" s="0" t="str">
        <f aca="false">IF(AND(CODE(MID(B15,2,1))&gt;=97,CODE(MID(B15,2,1))&lt;=122),LEFT(B15,2),LEFT(B15,1))</f>
        <v>Ba</v>
      </c>
      <c r="K15" s="0" t="n">
        <f aca="false">IF(J15="","",_xlfn.XLOOKUP(TRIM(J15),Metallic_Radius_Table!A:A,Metallic_Radius_Table!B:B))</f>
        <v>2.17</v>
      </c>
      <c r="L15" s="0" t="str">
        <f aca="false">IF(ISNUMBER(SEARCH("La",B15)),"La",
 IF(ISNUMBER(SEARCH("Nd",B15)),"Nd",
 IF(ISNUMBER(SEARCH("Eu",B15)),"Eu",
 IF(ISNUMBER(SEARCH("Gd",B15)),"Gd",""))))</f>
        <v/>
      </c>
      <c r="M15" s="0" t="str">
        <f aca="false">IF(L15="","",_xlfn.XLOOKUP(TRIM(L15),Metallic_Radius_Table!A:A,Metallic_Radius_Table!B:B))</f>
        <v/>
      </c>
      <c r="N15" s="0" t="str">
        <f aca="false">TRIM(LEFT(C15,FIND(",",C15)-1))</f>
        <v>Fe</v>
      </c>
      <c r="O15" s="3" t="n">
        <f aca="false">IF(N15="","",_xlfn.XLOOKUP(TRIM(N15),Metallic_Radius_Table!A:A,Metallic_Radius_Table!B:B))</f>
        <v>1.26</v>
      </c>
      <c r="P15" s="0" t="str">
        <f aca="false">TRIM(MID(C15,FIND(",",C15)+1,5))</f>
        <v>W</v>
      </c>
      <c r="Q15" s="0" t="n">
        <f aca="false">IF(P15="","",_xlfn.XLOOKUP(TRIM(P15),Metallic_Radius_Table!A:A,Metallic_Radius_Table!B:B))</f>
        <v>1.41</v>
      </c>
      <c r="R15" s="0" t="str">
        <f aca="false">IF(G15&gt;=1,   "Ferromagnetic / Ferrimagnetic",   IF(G15&gt;=0.05,      "Paramagnetic / Weakly magnetic",      "Antiferromagnetic / Diamagnetic"))</f>
        <v>Antiferromagnetic / Diamagnetic</v>
      </c>
      <c r="U15" s="0" t="str">
        <f aca="false">IF(G15&gt;=1,
   "FM → PM (Curie-type)",
   IF(G15&lt;0.05,
      "AFM → PM (Néel-type)",
      "No long-range magnetic transition"))</f>
        <v>AFM → PM (Néel-type)</v>
      </c>
    </row>
    <row r="16" customFormat="false" ht="13.8" hidden="false" customHeight="false" outlineLevel="0" collapsed="false">
      <c r="A16" s="0" t="s">
        <v>56</v>
      </c>
      <c r="B16" s="0" t="s">
        <v>57</v>
      </c>
      <c r="C16" s="0" t="s">
        <v>42</v>
      </c>
      <c r="D16" s="0" t="n">
        <v>-2.38106267772727</v>
      </c>
      <c r="E16" s="0" t="n">
        <v>0.194080436363643</v>
      </c>
      <c r="F16" s="0" t="n">
        <v>1.5819</v>
      </c>
      <c r="G16" s="0" t="n">
        <v>2.0000001</v>
      </c>
      <c r="H16" s="0" t="s">
        <v>58</v>
      </c>
      <c r="I16" s="2" t="b">
        <f aca="false">TRUE()</f>
        <v>1</v>
      </c>
      <c r="J16" s="0" t="str">
        <f aca="false">IF(AND(CODE(MID(B16,2,1))&gt;=97,CODE(MID(B16,2,1))&lt;=122),LEFT(B16,2),LEFT(B16,1))</f>
        <v>Ba</v>
      </c>
      <c r="K16" s="0" t="n">
        <f aca="false">IF(J16="","",_xlfn.XLOOKUP(TRIM(J16),Metallic_Radius_Table!A:A,Metallic_Radius_Table!B:B))</f>
        <v>2.17</v>
      </c>
      <c r="L16" s="0" t="str">
        <f aca="false">IF(ISNUMBER(SEARCH("La",B16)),"La",
 IF(ISNUMBER(SEARCH("Nd",B16)),"Nd",
 IF(ISNUMBER(SEARCH("Eu",B16)),"Eu",
 IF(ISNUMBER(SEARCH("Gd",B16)),"Gd",""))))</f>
        <v/>
      </c>
      <c r="M16" s="0" t="str">
        <f aca="false">IF(L16="","",_xlfn.XLOOKUP(TRIM(L16),Metallic_Radius_Table!A:A,Metallic_Radius_Table!B:B))</f>
        <v/>
      </c>
      <c r="N16" s="0" t="str">
        <f aca="false">TRIM(LEFT(C16,FIND(",",C16)-1))</f>
        <v>Fe</v>
      </c>
      <c r="O16" s="3" t="n">
        <f aca="false">IF(N16="","",_xlfn.XLOOKUP(TRIM(N16),Metallic_Radius_Table!A:A,Metallic_Radius_Table!B:B))</f>
        <v>1.26</v>
      </c>
      <c r="P16" s="0" t="str">
        <f aca="false">TRIM(MID(C16,FIND(",",C16)+1,5))</f>
        <v>Mo</v>
      </c>
      <c r="Q16" s="0" t="n">
        <f aca="false">IF(P16="","",_xlfn.XLOOKUP(TRIM(P16),Metallic_Radius_Table!A:A,Metallic_Radius_Table!B:B))</f>
        <v>1.39</v>
      </c>
      <c r="R16" s="0" t="str">
        <f aca="false">IF(G16&gt;=1,   "Ferromagnetic / Ferrimagnetic",   IF(G16&gt;=0.05,      "Paramagnetic / Weakly magnetic",      "Antiferromagnetic / Diamagnetic"))</f>
        <v>Ferromagnetic / Ferrimagnetic</v>
      </c>
      <c r="U16" s="0" t="str">
        <f aca="false">IF(G16&gt;=1,
   "FM → PM (Curie-type)",
   IF(G16&lt;0.05,
      "AFM → PM (Néel-type)",
      "No long-range magnetic transition"))</f>
        <v>FM → PM (Curie-type)</v>
      </c>
    </row>
    <row r="17" customFormat="false" ht="13.8" hidden="false" customHeight="false" outlineLevel="0" collapsed="false">
      <c r="A17" s="0" t="s">
        <v>59</v>
      </c>
      <c r="B17" s="0" t="s">
        <v>60</v>
      </c>
      <c r="C17" s="0" t="s">
        <v>61</v>
      </c>
      <c r="D17" s="0" t="n">
        <v>-2.6296567122931</v>
      </c>
      <c r="E17" s="0" t="n">
        <v>0</v>
      </c>
      <c r="F17" s="0" t="n">
        <v>1.26539999999999</v>
      </c>
      <c r="G17" s="0" t="n">
        <v>0</v>
      </c>
      <c r="H17" s="0" t="s">
        <v>22</v>
      </c>
      <c r="I17" s="2" t="b">
        <f aca="false">TRUE()</f>
        <v>1</v>
      </c>
      <c r="J17" s="0" t="str">
        <f aca="false">IF(AND(CODE(MID(B17,2,1))&gt;=97,CODE(MID(B17,2,1))&lt;=122),LEFT(B17,2),LEFT(B17,1))</f>
        <v>Ba</v>
      </c>
      <c r="K17" s="0" t="n">
        <f aca="false">IF(J17="","",_xlfn.XLOOKUP(TRIM(J17),Metallic_Radius_Table!A:A,Metallic_Radius_Table!B:B))</f>
        <v>2.17</v>
      </c>
      <c r="L17" s="0" t="str">
        <f aca="false">IF(ISNUMBER(SEARCH("La",B17)),"La",
 IF(ISNUMBER(SEARCH("Nd",B17)),"Nd",
 IF(ISNUMBER(SEARCH("Eu",B17)),"Eu",
 IF(ISNUMBER(SEARCH("Gd",B17)),"Gd",""))))</f>
        <v/>
      </c>
      <c r="M17" s="0" t="str">
        <f aca="false">IF(L17="","",_xlfn.XLOOKUP(TRIM(L17),Metallic_Radius_Table!A:A,Metallic_Radius_Table!B:B))</f>
        <v/>
      </c>
      <c r="N17" s="0" t="str">
        <f aca="false">TRIM(LEFT(C17,FIND(",",C17)-1))</f>
        <v>Mn</v>
      </c>
      <c r="O17" s="3" t="n">
        <f aca="false">IF(N17="","",_xlfn.XLOOKUP(TRIM(N17),Metallic_Radius_Table!A:A,Metallic_Radius_Table!B:B))</f>
        <v>1.27</v>
      </c>
      <c r="P17" s="0" t="str">
        <f aca="false">TRIM(MID(C17,FIND(",",C17)+1,5))</f>
        <v>Mo</v>
      </c>
      <c r="Q17" s="0" t="n">
        <f aca="false">IF(P17="","",_xlfn.XLOOKUP(TRIM(P17),Metallic_Radius_Table!A:A,Metallic_Radius_Table!B:B))</f>
        <v>1.39</v>
      </c>
      <c r="R17" s="0" t="str">
        <f aca="false">IF(G17&gt;=1,   "Ferromagnetic / Ferrimagnetic",   IF(G17&gt;=0.05,      "Paramagnetic / Weakly magnetic",      "Antiferromagnetic / Diamagnetic"))</f>
        <v>Antiferromagnetic / Diamagnetic</v>
      </c>
      <c r="U17" s="0" t="str">
        <f aca="false">IF(G17&gt;=1,
   "FM → PM (Curie-type)",
   IF(G17&lt;0.05,
      "AFM → PM (Néel-type)",
      "No long-range magnetic transition"))</f>
        <v>AFM → PM (Néel-type)</v>
      </c>
    </row>
    <row r="18" customFormat="false" ht="13.8" hidden="false" customHeight="false" outlineLevel="0" collapsed="false">
      <c r="A18" s="0" t="s">
        <v>62</v>
      </c>
      <c r="B18" s="0" t="s">
        <v>63</v>
      </c>
      <c r="C18" s="0" t="s">
        <v>64</v>
      </c>
      <c r="D18" s="0" t="n">
        <v>-2.9407101537931</v>
      </c>
      <c r="E18" s="0" t="n">
        <v>0.027375552666663</v>
      </c>
      <c r="F18" s="0" t="n">
        <v>0</v>
      </c>
      <c r="G18" s="0" t="n">
        <v>4.0000187</v>
      </c>
      <c r="H18" s="0" t="s">
        <v>22</v>
      </c>
      <c r="I18" s="2" t="b">
        <f aca="false">TRUE()</f>
        <v>1</v>
      </c>
      <c r="J18" s="0" t="str">
        <f aca="false">IF(AND(CODE(MID(B18,2,1))&gt;=97,CODE(MID(B18,2,1))&lt;=122),LEFT(B18,2),LEFT(B18,1))</f>
        <v>Ba</v>
      </c>
      <c r="K18" s="0" t="n">
        <f aca="false">IF(J18="","",_xlfn.XLOOKUP(TRIM(J18),Metallic_Radius_Table!A:A,Metallic_Radius_Table!B:B))</f>
        <v>2.17</v>
      </c>
      <c r="L18" s="0" t="str">
        <f aca="false">IF(ISNUMBER(SEARCH("La",B18)),"La",
 IF(ISNUMBER(SEARCH("Nd",B18)),"Nd",
 IF(ISNUMBER(SEARCH("Eu",B18)),"Eu",
 IF(ISNUMBER(SEARCH("Gd",B18)),"Gd",""))))</f>
        <v/>
      </c>
      <c r="M18" s="0" t="str">
        <f aca="false">IF(L18="","",_xlfn.XLOOKUP(TRIM(L18),Metallic_Radius_Table!A:A,Metallic_Radius_Table!B:B))</f>
        <v/>
      </c>
      <c r="N18" s="0" t="str">
        <f aca="false">TRIM(LEFT(C18,FIND(",",C18)-1))</f>
        <v>Nb</v>
      </c>
      <c r="O18" s="3" t="n">
        <f aca="false">IF(N18="","",_xlfn.XLOOKUP(TRIM(N18),Metallic_Radius_Table!A:A,Metallic_Radius_Table!B:B))</f>
        <v>1.46</v>
      </c>
      <c r="P18" s="0" t="str">
        <f aca="false">TRIM(MID(C18,FIND(",",C18)+1,5))</f>
        <v>Mn</v>
      </c>
      <c r="Q18" s="0" t="n">
        <f aca="false">IF(P18="","",_xlfn.XLOOKUP(TRIM(P18),Metallic_Radius_Table!A:A,Metallic_Radius_Table!B:B))</f>
        <v>1.27</v>
      </c>
      <c r="R18" s="0" t="str">
        <f aca="false">IF(G18&gt;=1,   "Ferromagnetic / Ferrimagnetic",   IF(G18&gt;=0.05,      "Paramagnetic / Weakly magnetic",      "Antiferromagnetic / Diamagnetic"))</f>
        <v>Ferromagnetic / Ferrimagnetic</v>
      </c>
      <c r="U18" s="0" t="str">
        <f aca="false">IF(G18&gt;=1,
   "FM → PM (Curie-type)",
   IF(G18&lt;0.05,
      "AFM → PM (Néel-type)",
      "No long-range magnetic transition"))</f>
        <v>FM → PM (Curie-type)</v>
      </c>
    </row>
    <row r="19" customFormat="false" ht="13.8" hidden="false" customHeight="false" outlineLevel="0" collapsed="false">
      <c r="A19" s="0" t="s">
        <v>65</v>
      </c>
      <c r="B19" s="0" t="s">
        <v>63</v>
      </c>
      <c r="C19" s="0" t="s">
        <v>64</v>
      </c>
      <c r="D19" s="0" t="n">
        <v>-2.9635321102931</v>
      </c>
      <c r="E19" s="0" t="n">
        <v>0.004553596166662</v>
      </c>
      <c r="F19" s="0" t="n">
        <v>1.16279999999999</v>
      </c>
      <c r="G19" s="0" t="n">
        <v>15.9994692</v>
      </c>
      <c r="H19" s="0" t="s">
        <v>66</v>
      </c>
      <c r="I19" s="2" t="b">
        <f aca="false">TRUE()</f>
        <v>1</v>
      </c>
      <c r="J19" s="0" t="str">
        <f aca="false">IF(AND(CODE(MID(B19,2,1))&gt;=97,CODE(MID(B19,2,1))&lt;=122),LEFT(B19,2),LEFT(B19,1))</f>
        <v>Ba</v>
      </c>
      <c r="K19" s="0" t="n">
        <f aca="false">IF(J19="","",_xlfn.XLOOKUP(TRIM(J19),Metallic_Radius_Table!A:A,Metallic_Radius_Table!B:B))</f>
        <v>2.17</v>
      </c>
      <c r="L19" s="0" t="str">
        <f aca="false">IF(ISNUMBER(SEARCH("La",B19)),"La",
 IF(ISNUMBER(SEARCH("Nd",B19)),"Nd",
 IF(ISNUMBER(SEARCH("Eu",B19)),"Eu",
 IF(ISNUMBER(SEARCH("Gd",B19)),"Gd",""))))</f>
        <v/>
      </c>
      <c r="M19" s="0" t="str">
        <f aca="false">IF(L19="","",_xlfn.XLOOKUP(TRIM(L19),Metallic_Radius_Table!A:A,Metallic_Radius_Table!B:B))</f>
        <v/>
      </c>
      <c r="N19" s="0" t="str">
        <f aca="false">TRIM(LEFT(C19,FIND(",",C19)-1))</f>
        <v>Nb</v>
      </c>
      <c r="O19" s="3" t="n">
        <f aca="false">IF(N19="","",_xlfn.XLOOKUP(TRIM(N19),Metallic_Radius_Table!A:A,Metallic_Radius_Table!B:B))</f>
        <v>1.46</v>
      </c>
      <c r="P19" s="0" t="str">
        <f aca="false">TRIM(MID(C19,FIND(",",C19)+1,5))</f>
        <v>Mn</v>
      </c>
      <c r="Q19" s="0" t="n">
        <f aca="false">IF(P19="","",_xlfn.XLOOKUP(TRIM(P19),Metallic_Radius_Table!A:A,Metallic_Radius_Table!B:B))</f>
        <v>1.27</v>
      </c>
      <c r="R19" s="0" t="str">
        <f aca="false">IF(G19&gt;=1,   "Ferromagnetic / Ferrimagnetic",   IF(G19&gt;=0.05,      "Paramagnetic / Weakly magnetic",      "Antiferromagnetic / Diamagnetic"))</f>
        <v>Ferromagnetic / Ferrimagnetic</v>
      </c>
      <c r="U19" s="0" t="str">
        <f aca="false">IF(G19&gt;=1,
   "FM → PM (Curie-type)",
   IF(G19&lt;0.05,
      "AFM → PM (Néel-type)",
      "No long-range magnetic transition"))</f>
        <v>FM → PM (Curie-type)</v>
      </c>
    </row>
    <row r="20" customFormat="false" ht="13.8" hidden="false" customHeight="false" outlineLevel="0" collapsed="false">
      <c r="A20" s="0" t="s">
        <v>67</v>
      </c>
      <c r="B20" s="0" t="s">
        <v>63</v>
      </c>
      <c r="C20" s="0" t="s">
        <v>64</v>
      </c>
      <c r="D20" s="0" t="n">
        <v>-2.9629106410431</v>
      </c>
      <c r="E20" s="0" t="n">
        <v>0.005175065416661</v>
      </c>
      <c r="F20" s="0" t="n">
        <v>1.1475</v>
      </c>
      <c r="G20" s="0" t="n">
        <v>16.0006208</v>
      </c>
      <c r="H20" s="0" t="s">
        <v>54</v>
      </c>
      <c r="I20" s="2" t="b">
        <f aca="false">TRUE()</f>
        <v>1</v>
      </c>
      <c r="J20" s="0" t="str">
        <f aca="false">IF(AND(CODE(MID(B20,2,1))&gt;=97,CODE(MID(B20,2,1))&lt;=122),LEFT(B20,2),LEFT(B20,1))</f>
        <v>Ba</v>
      </c>
      <c r="K20" s="0" t="n">
        <f aca="false">IF(J20="","",_xlfn.XLOOKUP(TRIM(J20),Metallic_Radius_Table!A:A,Metallic_Radius_Table!B:B))</f>
        <v>2.17</v>
      </c>
      <c r="L20" s="0" t="str">
        <f aca="false">IF(ISNUMBER(SEARCH("La",B20)),"La",
 IF(ISNUMBER(SEARCH("Nd",B20)),"Nd",
 IF(ISNUMBER(SEARCH("Eu",B20)),"Eu",
 IF(ISNUMBER(SEARCH("Gd",B20)),"Gd",""))))</f>
        <v/>
      </c>
      <c r="M20" s="0" t="str">
        <f aca="false">IF(L20="","",_xlfn.XLOOKUP(TRIM(L20),Metallic_Radius_Table!A:A,Metallic_Radius_Table!B:B))</f>
        <v/>
      </c>
      <c r="N20" s="0" t="str">
        <f aca="false">TRIM(LEFT(C20,FIND(",",C20)-1))</f>
        <v>Nb</v>
      </c>
      <c r="O20" s="3" t="n">
        <f aca="false">IF(N20="","",_xlfn.XLOOKUP(TRIM(N20),Metallic_Radius_Table!A:A,Metallic_Radius_Table!B:B))</f>
        <v>1.46</v>
      </c>
      <c r="P20" s="0" t="str">
        <f aca="false">TRIM(MID(C20,FIND(",",C20)+1,5))</f>
        <v>Mn</v>
      </c>
      <c r="Q20" s="0" t="n">
        <f aca="false">IF(P20="","",_xlfn.XLOOKUP(TRIM(P20),Metallic_Radius_Table!A:A,Metallic_Radius_Table!B:B))</f>
        <v>1.27</v>
      </c>
      <c r="R20" s="0" t="str">
        <f aca="false">IF(G20&gt;=1,   "Ferromagnetic / Ferrimagnetic",   IF(G20&gt;=0.05,      "Paramagnetic / Weakly magnetic",      "Antiferromagnetic / Diamagnetic"))</f>
        <v>Ferromagnetic / Ferrimagnetic</v>
      </c>
      <c r="U20" s="0" t="str">
        <f aca="false">IF(G20&gt;=1,
   "FM → PM (Curie-type)",
   IF(G20&lt;0.05,
      "AFM → PM (Néel-type)",
      "No long-range magnetic transition"))</f>
        <v>FM → PM (Curie-type)</v>
      </c>
    </row>
    <row r="21" customFormat="false" ht="13.8" hidden="false" customHeight="false" outlineLevel="0" collapsed="false">
      <c r="A21" s="0" t="s">
        <v>68</v>
      </c>
      <c r="B21" s="0" t="s">
        <v>63</v>
      </c>
      <c r="C21" s="0" t="s">
        <v>64</v>
      </c>
      <c r="D21" s="0" t="n">
        <v>-2.9515829482931</v>
      </c>
      <c r="E21" s="0" t="n">
        <v>0.016502758166661</v>
      </c>
      <c r="F21" s="0" t="n">
        <v>0.0764</v>
      </c>
      <c r="G21" s="0" t="n">
        <v>16.0006634</v>
      </c>
      <c r="H21" s="0" t="s">
        <v>69</v>
      </c>
      <c r="I21" s="2" t="b">
        <f aca="false">TRUE()</f>
        <v>1</v>
      </c>
      <c r="J21" s="0" t="str">
        <f aca="false">IF(AND(CODE(MID(B21,2,1))&gt;=97,CODE(MID(B21,2,1))&lt;=122),LEFT(B21,2),LEFT(B21,1))</f>
        <v>Ba</v>
      </c>
      <c r="K21" s="0" t="n">
        <f aca="false">IF(J21="","",_xlfn.XLOOKUP(TRIM(J21),Metallic_Radius_Table!A:A,Metallic_Radius_Table!B:B))</f>
        <v>2.17</v>
      </c>
      <c r="L21" s="0" t="str">
        <f aca="false">IF(ISNUMBER(SEARCH("La",B21)),"La",
 IF(ISNUMBER(SEARCH("Nd",B21)),"Nd",
 IF(ISNUMBER(SEARCH("Eu",B21)),"Eu",
 IF(ISNUMBER(SEARCH("Gd",B21)),"Gd",""))))</f>
        <v/>
      </c>
      <c r="M21" s="0" t="str">
        <f aca="false">IF(L21="","",_xlfn.XLOOKUP(TRIM(L21),Metallic_Radius_Table!A:A,Metallic_Radius_Table!B:B))</f>
        <v/>
      </c>
      <c r="N21" s="0" t="str">
        <f aca="false">TRIM(LEFT(C21,FIND(",",C21)-1))</f>
        <v>Nb</v>
      </c>
      <c r="O21" s="3" t="n">
        <f aca="false">IF(N21="","",_xlfn.XLOOKUP(TRIM(N21),Metallic_Radius_Table!A:A,Metallic_Radius_Table!B:B))</f>
        <v>1.46</v>
      </c>
      <c r="P21" s="0" t="str">
        <f aca="false">TRIM(MID(C21,FIND(",",C21)+1,5))</f>
        <v>Mn</v>
      </c>
      <c r="Q21" s="0" t="n">
        <f aca="false">IF(P21="","",_xlfn.XLOOKUP(TRIM(P21),Metallic_Radius_Table!A:A,Metallic_Radius_Table!B:B))</f>
        <v>1.27</v>
      </c>
      <c r="R21" s="0" t="str">
        <f aca="false">IF(G21&gt;=1,   "Ferromagnetic / Ferrimagnetic",   IF(G21&gt;=0.05,      "Paramagnetic / Weakly magnetic",      "Antiferromagnetic / Diamagnetic"))</f>
        <v>Ferromagnetic / Ferrimagnetic</v>
      </c>
      <c r="U21" s="0" t="str">
        <f aca="false">IF(G21&gt;=1,
   "FM → PM (Curie-type)",
   IF(G21&lt;0.05,
      "AFM → PM (Néel-type)",
      "No long-range magnetic transition"))</f>
        <v>FM → PM (Curie-type)</v>
      </c>
    </row>
    <row r="22" customFormat="false" ht="13.8" hidden="false" customHeight="false" outlineLevel="0" collapsed="false">
      <c r="A22" s="0" t="s">
        <v>70</v>
      </c>
      <c r="B22" s="0" t="s">
        <v>63</v>
      </c>
      <c r="C22" s="0" t="s">
        <v>64</v>
      </c>
      <c r="D22" s="0" t="n">
        <v>-2.9617253507931</v>
      </c>
      <c r="E22" s="0" t="n">
        <v>0.006360355666661</v>
      </c>
      <c r="F22" s="0" t="n">
        <v>0.185799999999999</v>
      </c>
      <c r="G22" s="0" t="n">
        <v>0</v>
      </c>
      <c r="H22" s="0" t="s">
        <v>24</v>
      </c>
      <c r="I22" s="2" t="b">
        <f aca="false">TRUE()</f>
        <v>1</v>
      </c>
      <c r="J22" s="0" t="str">
        <f aca="false">IF(AND(CODE(MID(B22,2,1))&gt;=97,CODE(MID(B22,2,1))&lt;=122),LEFT(B22,2),LEFT(B22,1))</f>
        <v>Ba</v>
      </c>
      <c r="K22" s="0" t="n">
        <f aca="false">IF(J22="","",_xlfn.XLOOKUP(TRIM(J22),Metallic_Radius_Table!A:A,Metallic_Radius_Table!B:B))</f>
        <v>2.17</v>
      </c>
      <c r="L22" s="0" t="str">
        <f aca="false">IF(ISNUMBER(SEARCH("La",B22)),"La",
 IF(ISNUMBER(SEARCH("Nd",B22)),"Nd",
 IF(ISNUMBER(SEARCH("Eu",B22)),"Eu",
 IF(ISNUMBER(SEARCH("Gd",B22)),"Gd",""))))</f>
        <v/>
      </c>
      <c r="M22" s="0" t="str">
        <f aca="false">IF(L22="","",_xlfn.XLOOKUP(TRIM(L22),Metallic_Radius_Table!A:A,Metallic_Radius_Table!B:B))</f>
        <v/>
      </c>
      <c r="N22" s="0" t="str">
        <f aca="false">TRIM(LEFT(C22,FIND(",",C22)-1))</f>
        <v>Nb</v>
      </c>
      <c r="O22" s="3" t="n">
        <f aca="false">IF(N22="","",_xlfn.XLOOKUP(TRIM(N22),Metallic_Radius_Table!A:A,Metallic_Radius_Table!B:B))</f>
        <v>1.46</v>
      </c>
      <c r="P22" s="0" t="str">
        <f aca="false">TRIM(MID(C22,FIND(",",C22)+1,5))</f>
        <v>Mn</v>
      </c>
      <c r="Q22" s="0" t="n">
        <f aca="false">IF(P22="","",_xlfn.XLOOKUP(TRIM(P22),Metallic_Radius_Table!A:A,Metallic_Radius_Table!B:B))</f>
        <v>1.27</v>
      </c>
      <c r="R22" s="0" t="str">
        <f aca="false">IF(G22&gt;=1,   "Ferromagnetic / Ferrimagnetic",   IF(G22&gt;=0.05,      "Paramagnetic / Weakly magnetic",      "Antiferromagnetic / Diamagnetic"))</f>
        <v>Antiferromagnetic / Diamagnetic</v>
      </c>
      <c r="U22" s="0" t="str">
        <f aca="false">IF(G22&gt;=1,
   "FM → PM (Curie-type)",
   IF(G22&lt;0.05,
      "AFM → PM (Néel-type)",
      "No long-range magnetic transition"))</f>
        <v>AFM → PM (Néel-type)</v>
      </c>
    </row>
    <row r="23" customFormat="false" ht="13.8" hidden="false" customHeight="false" outlineLevel="0" collapsed="false">
      <c r="A23" s="0" t="s">
        <v>71</v>
      </c>
      <c r="B23" s="0" t="s">
        <v>72</v>
      </c>
      <c r="C23" s="0" t="s">
        <v>73</v>
      </c>
      <c r="D23" s="0" t="n">
        <v>-2.6378569690431</v>
      </c>
      <c r="E23" s="0" t="n">
        <v>0</v>
      </c>
      <c r="F23" s="0" t="n">
        <v>0</v>
      </c>
      <c r="G23" s="0" t="n">
        <v>3.99999959999999</v>
      </c>
      <c r="H23" s="0" t="s">
        <v>22</v>
      </c>
      <c r="I23" s="2" t="b">
        <f aca="false">TRUE()</f>
        <v>1</v>
      </c>
      <c r="J23" s="0" t="str">
        <f aca="false">IF(AND(CODE(MID(B23,2,1))&gt;=97,CODE(MID(B23,2,1))&lt;=122),LEFT(B23,2),LEFT(B23,1))</f>
        <v>Ba</v>
      </c>
      <c r="K23" s="0" t="n">
        <f aca="false">IF(J23="","",_xlfn.XLOOKUP(TRIM(J23),Metallic_Radius_Table!A:A,Metallic_Radius_Table!B:B))</f>
        <v>2.17</v>
      </c>
      <c r="L23" s="0" t="str">
        <f aca="false">IF(ISNUMBER(SEARCH("La",B23)),"La",
 IF(ISNUMBER(SEARCH("Nd",B23)),"Nd",
 IF(ISNUMBER(SEARCH("Eu",B23)),"Eu",
 IF(ISNUMBER(SEARCH("Gd",B23)),"Gd",""))))</f>
        <v/>
      </c>
      <c r="M23" s="0" t="str">
        <f aca="false">IF(L23="","",_xlfn.XLOOKUP(TRIM(L23),Metallic_Radius_Table!A:A,Metallic_Radius_Table!B:B))</f>
        <v/>
      </c>
      <c r="N23" s="0" t="str">
        <f aca="false">TRIM(LEFT(C23,FIND(",",C23)-1))</f>
        <v>Re</v>
      </c>
      <c r="O23" s="3" t="n">
        <f aca="false">IF(N23="","",_xlfn.XLOOKUP(TRIM(N23),Metallic_Radius_Table!A:A,Metallic_Radius_Table!B:B))</f>
        <v>1.37</v>
      </c>
      <c r="P23" s="0" t="str">
        <f aca="false">TRIM(MID(C23,FIND(",",C23)+1,5))</f>
        <v>Mn</v>
      </c>
      <c r="Q23" s="0" t="n">
        <f aca="false">IF(P23="","",_xlfn.XLOOKUP(TRIM(P23),Metallic_Radius_Table!A:A,Metallic_Radius_Table!B:B))</f>
        <v>1.27</v>
      </c>
      <c r="R23" s="0" t="str">
        <f aca="false">IF(G23&gt;=1,   "Ferromagnetic / Ferrimagnetic",   IF(G23&gt;=0.05,      "Paramagnetic / Weakly magnetic",      "Antiferromagnetic / Diamagnetic"))</f>
        <v>Ferromagnetic / Ferrimagnetic</v>
      </c>
      <c r="U23" s="0" t="str">
        <f aca="false">IF(G23&gt;=1,
   "FM → PM (Curie-type)",
   IF(G23&lt;0.05,
      "AFM → PM (Néel-type)",
      "No long-range magnetic transition"))</f>
        <v>FM → PM (Curie-type)</v>
      </c>
    </row>
    <row r="24" customFormat="false" ht="13.8" hidden="false" customHeight="false" outlineLevel="0" collapsed="false">
      <c r="A24" s="0" t="s">
        <v>74</v>
      </c>
      <c r="B24" s="0" t="s">
        <v>75</v>
      </c>
      <c r="C24" s="0" t="s">
        <v>76</v>
      </c>
      <c r="D24" s="0" t="n">
        <v>-2.3171343647931</v>
      </c>
      <c r="E24" s="0" t="n">
        <v>0.02291560858333</v>
      </c>
      <c r="F24" s="0" t="n">
        <v>0</v>
      </c>
      <c r="G24" s="0" t="n">
        <v>20.9979188</v>
      </c>
      <c r="H24" s="0" t="s">
        <v>43</v>
      </c>
      <c r="I24" s="2" t="b">
        <f aca="false">TRUE()</f>
        <v>1</v>
      </c>
      <c r="J24" s="0" t="str">
        <f aca="false">IF(AND(CODE(MID(B24,2,1))&gt;=97,CODE(MID(B24,2,1))&lt;=122),LEFT(B24,2),LEFT(B24,1))</f>
        <v>Ba</v>
      </c>
      <c r="K24" s="0" t="n">
        <f aca="false">IF(J24="","",_xlfn.XLOOKUP(TRIM(J24),Metallic_Radius_Table!A:A,Metallic_Radius_Table!B:B))</f>
        <v>2.17</v>
      </c>
      <c r="L24" s="0" t="str">
        <f aca="false">IF(ISNUMBER(SEARCH("La",B24)),"La",
 IF(ISNUMBER(SEARCH("Nd",B24)),"Nd",
 IF(ISNUMBER(SEARCH("Eu",B24)),"Eu",
 IF(ISNUMBER(SEARCH("Gd",B24)),"Gd",""))))</f>
        <v/>
      </c>
      <c r="M24" s="0" t="str">
        <f aca="false">IF(L24="","",_xlfn.XLOOKUP(TRIM(L24),Metallic_Radius_Table!A:A,Metallic_Radius_Table!B:B))</f>
        <v/>
      </c>
      <c r="N24" s="0" t="str">
        <f aca="false">TRIM(LEFT(C24,FIND(",",C24)-1))</f>
        <v>Mn</v>
      </c>
      <c r="O24" s="3" t="n">
        <f aca="false">IF(N24="","",_xlfn.XLOOKUP(TRIM(N24),Metallic_Radius_Table!A:A,Metallic_Radius_Table!B:B))</f>
        <v>1.27</v>
      </c>
      <c r="P24" s="0" t="str">
        <f aca="false">TRIM(MID(C24,FIND(",",C24)+1,5))</f>
        <v>Ru</v>
      </c>
      <c r="Q24" s="0" t="n">
        <f aca="false">IF(P24="","",_xlfn.XLOOKUP(TRIM(P24),Metallic_Radius_Table!A:A,Metallic_Radius_Table!B:B))</f>
        <v>1.34</v>
      </c>
      <c r="R24" s="0" t="str">
        <f aca="false">IF(G24&gt;=1,   "Ferromagnetic / Ferrimagnetic",   IF(G24&gt;=0.05,      "Paramagnetic / Weakly magnetic",      "Antiferromagnetic / Diamagnetic"))</f>
        <v>Ferromagnetic / Ferrimagnetic</v>
      </c>
      <c r="U24" s="0" t="str">
        <f aca="false">IF(G24&gt;=1,
   "FM → PM (Curie-type)",
   IF(G24&lt;0.05,
      "AFM → PM (Néel-type)",
      "No long-range magnetic transition"))</f>
        <v>FM → PM (Curie-type)</v>
      </c>
    </row>
    <row r="25" customFormat="false" ht="13.8" hidden="false" customHeight="false" outlineLevel="0" collapsed="false">
      <c r="A25" s="0" t="s">
        <v>77</v>
      </c>
      <c r="B25" s="0" t="s">
        <v>78</v>
      </c>
      <c r="C25" s="0" t="s">
        <v>79</v>
      </c>
      <c r="D25" s="0" t="n">
        <v>-2.7469805557931</v>
      </c>
      <c r="E25" s="0" t="n">
        <v>0</v>
      </c>
      <c r="F25" s="0" t="n">
        <v>2.2267</v>
      </c>
      <c r="G25" s="0" t="n">
        <v>0</v>
      </c>
      <c r="H25" s="0" t="s">
        <v>22</v>
      </c>
      <c r="I25" s="2" t="b">
        <f aca="false">TRUE()</f>
        <v>1</v>
      </c>
      <c r="J25" s="0" t="str">
        <f aca="false">IF(AND(CODE(MID(B25,2,1))&gt;=97,CODE(MID(B25,2,1))&lt;=122),LEFT(B25,2),LEFT(B25,1))</f>
        <v>Ba</v>
      </c>
      <c r="K25" s="0" t="n">
        <f aca="false">IF(J25="","",_xlfn.XLOOKUP(TRIM(J25),Metallic_Radius_Table!A:A,Metallic_Radius_Table!B:B))</f>
        <v>2.17</v>
      </c>
      <c r="L25" s="0" t="str">
        <f aca="false">IF(ISNUMBER(SEARCH("La",B25)),"La",
 IF(ISNUMBER(SEARCH("Nd",B25)),"Nd",
 IF(ISNUMBER(SEARCH("Eu",B25)),"Eu",
 IF(ISNUMBER(SEARCH("Gd",B25)),"Gd",""))))</f>
        <v/>
      </c>
      <c r="M25" s="0" t="str">
        <f aca="false">IF(L25="","",_xlfn.XLOOKUP(TRIM(L25),Metallic_Radius_Table!A:A,Metallic_Radius_Table!B:B))</f>
        <v/>
      </c>
      <c r="N25" s="0" t="str">
        <f aca="false">TRIM(LEFT(C25,FIND(",",C25)-1))</f>
        <v>Mn</v>
      </c>
      <c r="O25" s="3" t="n">
        <f aca="false">IF(N25="","",_xlfn.XLOOKUP(TRIM(N25),Metallic_Radius_Table!A:A,Metallic_Radius_Table!B:B))</f>
        <v>1.27</v>
      </c>
      <c r="P25" s="0" t="str">
        <f aca="false">TRIM(MID(C25,FIND(",",C25)+1,5))</f>
        <v>W</v>
      </c>
      <c r="Q25" s="0" t="n">
        <f aca="false">IF(P25="","",_xlfn.XLOOKUP(TRIM(P25),Metallic_Radius_Table!A:A,Metallic_Radius_Table!B:B))</f>
        <v>1.41</v>
      </c>
      <c r="R25" s="0" t="str">
        <f aca="false">IF(G25&gt;=1,   "Ferromagnetic / Ferrimagnetic",   IF(G25&gt;=0.05,      "Paramagnetic / Weakly magnetic",      "Antiferromagnetic / Diamagnetic"))</f>
        <v>Antiferromagnetic / Diamagnetic</v>
      </c>
      <c r="U25" s="0" t="str">
        <f aca="false">IF(G25&gt;=1,
   "FM → PM (Curie-type)",
   IF(G25&lt;0.05,
      "AFM → PM (Néel-type)",
      "No long-range magnetic transition"))</f>
        <v>AFM → PM (Néel-type)</v>
      </c>
    </row>
    <row r="26" customFormat="false" ht="13.8" hidden="false" customHeight="false" outlineLevel="0" collapsed="false">
      <c r="A26" s="0" t="s">
        <v>80</v>
      </c>
      <c r="B26" s="0" t="s">
        <v>81</v>
      </c>
      <c r="C26" s="0" t="s">
        <v>82</v>
      </c>
      <c r="D26" s="0" t="n">
        <v>-2.710650131</v>
      </c>
      <c r="E26" s="0" t="n">
        <v>0.066096190249994</v>
      </c>
      <c r="F26" s="0" t="n">
        <v>1.53459999999999</v>
      </c>
      <c r="G26" s="0" t="n">
        <v>0.000261799999999</v>
      </c>
      <c r="H26" s="0" t="s">
        <v>22</v>
      </c>
      <c r="I26" s="2" t="b">
        <f aca="false">TRUE()</f>
        <v>1</v>
      </c>
      <c r="J26" s="0" t="str">
        <f aca="false">IF(AND(CODE(MID(B26,2,1))&gt;=97,CODE(MID(B26,2,1))&lt;=122),LEFT(B26,2),LEFT(B26,1))</f>
        <v>Ba</v>
      </c>
      <c r="K26" s="0" t="n">
        <f aca="false">IF(J26="","",_xlfn.XLOOKUP(TRIM(J26),Metallic_Radius_Table!A:A,Metallic_Radius_Table!B:B))</f>
        <v>2.17</v>
      </c>
      <c r="L26" s="0" t="str">
        <f aca="false">IF(ISNUMBER(SEARCH("La",B26)),"La",
 IF(ISNUMBER(SEARCH("Nd",B26)),"Nd",
 IF(ISNUMBER(SEARCH("Eu",B26)),"Eu",
 IF(ISNUMBER(SEARCH("Gd",B26)),"Gd",""))))</f>
        <v/>
      </c>
      <c r="M26" s="0" t="str">
        <f aca="false">IF(L26="","",_xlfn.XLOOKUP(TRIM(L26),Metallic_Radius_Table!A:A,Metallic_Radius_Table!B:B))</f>
        <v/>
      </c>
      <c r="N26" s="0" t="str">
        <f aca="false">TRIM(LEFT(C26,FIND(",",C26)-1))</f>
        <v>Co</v>
      </c>
      <c r="O26" s="3" t="n">
        <f aca="false">IF(N26="","",_xlfn.XLOOKUP(TRIM(N26),Metallic_Radius_Table!A:A,Metallic_Radius_Table!B:B))</f>
        <v>1.25</v>
      </c>
      <c r="P26" s="0" t="str">
        <f aca="false">TRIM(MID(C26,FIND(",",C26)+1,5))</f>
        <v>Nb</v>
      </c>
      <c r="Q26" s="0" t="n">
        <f aca="false">IF(P26="","",_xlfn.XLOOKUP(TRIM(P26),Metallic_Radius_Table!A:A,Metallic_Radius_Table!B:B))</f>
        <v>1.46</v>
      </c>
      <c r="R26" s="0" t="str">
        <f aca="false">IF(G26&gt;=1,   "Ferromagnetic / Ferrimagnetic",   IF(G26&gt;=0.05,      "Paramagnetic / Weakly magnetic",      "Antiferromagnetic / Diamagnetic"))</f>
        <v>Antiferromagnetic / Diamagnetic</v>
      </c>
      <c r="U26" s="0" t="str">
        <f aca="false">IF(G26&gt;=1,
   "FM → PM (Curie-type)",
   IF(G26&lt;0.05,
      "AFM → PM (Néel-type)",
      "No long-range magnetic transition"))</f>
        <v>AFM → PM (Néel-type)</v>
      </c>
    </row>
    <row r="27" customFormat="false" ht="13.8" hidden="false" customHeight="false" outlineLevel="0" collapsed="false">
      <c r="A27" s="0" t="s">
        <v>83</v>
      </c>
      <c r="B27" s="0" t="s">
        <v>84</v>
      </c>
      <c r="C27" s="0" t="s">
        <v>85</v>
      </c>
      <c r="D27" s="0" t="n">
        <v>-3.05619982500001</v>
      </c>
      <c r="E27" s="0" t="n">
        <v>0</v>
      </c>
      <c r="F27" s="0" t="n">
        <v>1.58239999999999</v>
      </c>
      <c r="G27" s="0" t="n">
        <v>12</v>
      </c>
      <c r="H27" s="0" t="s">
        <v>86</v>
      </c>
      <c r="I27" s="2" t="b">
        <f aca="false">TRUE()</f>
        <v>1</v>
      </c>
      <c r="J27" s="0" t="str">
        <f aca="false">IF(AND(CODE(MID(B27,2,1))&gt;=97,CODE(MID(B27,2,1))&lt;=122),LEFT(B27,2),LEFT(B27,1))</f>
        <v>Ba</v>
      </c>
      <c r="K27" s="0" t="n">
        <f aca="false">IF(J27="","",_xlfn.XLOOKUP(TRIM(J27),Metallic_Radius_Table!A:A,Metallic_Radius_Table!B:B))</f>
        <v>2.17</v>
      </c>
      <c r="L27" s="0" t="str">
        <f aca="false">IF(ISNUMBER(SEARCH("La",B27)),"La",
 IF(ISNUMBER(SEARCH("Nd",B27)),"Nd",
 IF(ISNUMBER(SEARCH("Eu",B27)),"Eu",
 IF(ISNUMBER(SEARCH("Gd",B27)),"Gd",""))))</f>
        <v/>
      </c>
      <c r="M27" s="0" t="str">
        <f aca="false">IF(L27="","",_xlfn.XLOOKUP(TRIM(L27),Metallic_Radius_Table!A:A,Metallic_Radius_Table!B:B))</f>
        <v/>
      </c>
      <c r="N27" s="0" t="str">
        <f aca="false">TRIM(LEFT(C27,FIND(",",C27)-1))</f>
        <v>Cr</v>
      </c>
      <c r="O27" s="3" t="n">
        <f aca="false">IF(N27="","",_xlfn.XLOOKUP(TRIM(N27),Metallic_Radius_Table!A:A,Metallic_Radius_Table!B:B))</f>
        <v>1.28</v>
      </c>
      <c r="P27" s="0" t="str">
        <f aca="false">TRIM(MID(C27,FIND(",",C27)+1,5))</f>
        <v>Nb</v>
      </c>
      <c r="Q27" s="0" t="n">
        <f aca="false">IF(P27="","",_xlfn.XLOOKUP(TRIM(P27),Metallic_Radius_Table!A:A,Metallic_Radius_Table!B:B))</f>
        <v>1.46</v>
      </c>
      <c r="R27" s="0" t="str">
        <f aca="false">IF(G27&gt;=1,   "Ferromagnetic / Ferrimagnetic",   IF(G27&gt;=0.05,      "Paramagnetic / Weakly magnetic",      "Antiferromagnetic / Diamagnetic"))</f>
        <v>Ferromagnetic / Ferrimagnetic</v>
      </c>
      <c r="U27" s="0" t="str">
        <f aca="false">IF(G27&gt;=1,
   "FM → PM (Curie-type)",
   IF(G27&lt;0.05,
      "AFM → PM (Néel-type)",
      "No long-range magnetic transition"))</f>
        <v>FM → PM (Curie-type)</v>
      </c>
    </row>
    <row r="28" customFormat="false" ht="13.8" hidden="false" customHeight="false" outlineLevel="0" collapsed="false">
      <c r="A28" s="0" t="s">
        <v>87</v>
      </c>
      <c r="B28" s="0" t="s">
        <v>88</v>
      </c>
      <c r="C28" s="0" t="s">
        <v>89</v>
      </c>
      <c r="D28" s="0" t="n">
        <v>-2.89555372049999</v>
      </c>
      <c r="E28" s="0" t="n">
        <v>0</v>
      </c>
      <c r="F28" s="0" t="n">
        <v>1.455</v>
      </c>
      <c r="G28" s="0" t="n">
        <v>0</v>
      </c>
      <c r="H28" s="0" t="s">
        <v>22</v>
      </c>
      <c r="I28" s="2" t="b">
        <f aca="false">TRUE()</f>
        <v>1</v>
      </c>
      <c r="J28" s="0" t="str">
        <f aca="false">IF(AND(CODE(MID(B28,2,1))&gt;=97,CODE(MID(B28,2,1))&lt;=122),LEFT(B28,2),LEFT(B28,1))</f>
        <v>Ba</v>
      </c>
      <c r="K28" s="0" t="n">
        <f aca="false">IF(J28="","",_xlfn.XLOOKUP(TRIM(J28),Metallic_Radius_Table!A:A,Metallic_Radius_Table!B:B))</f>
        <v>2.17</v>
      </c>
      <c r="L28" s="0" t="str">
        <f aca="false">IF(ISNUMBER(SEARCH("La",B28)),"La",
 IF(ISNUMBER(SEARCH("Nd",B28)),"Nd",
 IF(ISNUMBER(SEARCH("Eu",B28)),"Eu",
 IF(ISNUMBER(SEARCH("Gd",B28)),"Gd",""))))</f>
        <v/>
      </c>
      <c r="M28" s="0" t="str">
        <f aca="false">IF(L28="","",_xlfn.XLOOKUP(TRIM(L28),Metallic_Radius_Table!A:A,Metallic_Radius_Table!B:B))</f>
        <v/>
      </c>
      <c r="N28" s="0" t="str">
        <f aca="false">TRIM(LEFT(C28,FIND(",",C28)-1))</f>
        <v>Fe</v>
      </c>
      <c r="O28" s="3" t="n">
        <f aca="false">IF(N28="","",_xlfn.XLOOKUP(TRIM(N28),Metallic_Radius_Table!A:A,Metallic_Radius_Table!B:B))</f>
        <v>1.26</v>
      </c>
      <c r="P28" s="0" t="str">
        <f aca="false">TRIM(MID(C28,FIND(",",C28)+1,5))</f>
        <v>Nb</v>
      </c>
      <c r="Q28" s="0" t="n">
        <f aca="false">IF(P28="","",_xlfn.XLOOKUP(TRIM(P28),Metallic_Radius_Table!A:A,Metallic_Radius_Table!B:B))</f>
        <v>1.46</v>
      </c>
      <c r="R28" s="0" t="str">
        <f aca="false">IF(G28&gt;=1,   "Ferromagnetic / Ferrimagnetic",   IF(G28&gt;=0.05,      "Paramagnetic / Weakly magnetic",      "Antiferromagnetic / Diamagnetic"))</f>
        <v>Antiferromagnetic / Diamagnetic</v>
      </c>
      <c r="U28" s="0" t="str">
        <f aca="false">IF(G28&gt;=1,
   "FM → PM (Curie-type)",
   IF(G28&lt;0.05,
      "AFM → PM (Néel-type)",
      "No long-range magnetic transition"))</f>
        <v>AFM → PM (Néel-type)</v>
      </c>
    </row>
    <row r="29" customFormat="false" ht="13.8" hidden="false" customHeight="false" outlineLevel="0" collapsed="false">
      <c r="A29" s="0" t="s">
        <v>90</v>
      </c>
      <c r="B29" s="0" t="s">
        <v>88</v>
      </c>
      <c r="C29" s="0" t="s">
        <v>89</v>
      </c>
      <c r="D29" s="0" t="n">
        <v>-2.87741168466666</v>
      </c>
      <c r="E29" s="0" t="n">
        <v>0.018142035833317</v>
      </c>
      <c r="F29" s="0" t="n">
        <v>1.69079999999999</v>
      </c>
      <c r="G29" s="0" t="n">
        <v>15.0030445</v>
      </c>
      <c r="H29" s="0" t="s">
        <v>91</v>
      </c>
      <c r="I29" s="2" t="b">
        <f aca="false">TRUE()</f>
        <v>1</v>
      </c>
      <c r="J29" s="0" t="str">
        <f aca="false">IF(AND(CODE(MID(B29,2,1))&gt;=97,CODE(MID(B29,2,1))&lt;=122),LEFT(B29,2),LEFT(B29,1))</f>
        <v>Ba</v>
      </c>
      <c r="K29" s="0" t="n">
        <f aca="false">IF(J29="","",_xlfn.XLOOKUP(TRIM(J29),Metallic_Radius_Table!A:A,Metallic_Radius_Table!B:B))</f>
        <v>2.17</v>
      </c>
      <c r="L29" s="0" t="str">
        <f aca="false">IF(ISNUMBER(SEARCH("La",B29)),"La",
 IF(ISNUMBER(SEARCH("Nd",B29)),"Nd",
 IF(ISNUMBER(SEARCH("Eu",B29)),"Eu",
 IF(ISNUMBER(SEARCH("Gd",B29)),"Gd",""))))</f>
        <v/>
      </c>
      <c r="M29" s="0" t="str">
        <f aca="false">IF(L29="","",_xlfn.XLOOKUP(TRIM(L29),Metallic_Radius_Table!A:A,Metallic_Radius_Table!B:B))</f>
        <v/>
      </c>
      <c r="N29" s="0" t="str">
        <f aca="false">TRIM(LEFT(C29,FIND(",",C29)-1))</f>
        <v>Fe</v>
      </c>
      <c r="O29" s="3" t="n">
        <f aca="false">IF(N29="","",_xlfn.XLOOKUP(TRIM(N29),Metallic_Radius_Table!A:A,Metallic_Radius_Table!B:B))</f>
        <v>1.26</v>
      </c>
      <c r="P29" s="0" t="str">
        <f aca="false">TRIM(MID(C29,FIND(",",C29)+1,5))</f>
        <v>Nb</v>
      </c>
      <c r="Q29" s="0" t="n">
        <f aca="false">IF(P29="","",_xlfn.XLOOKUP(TRIM(P29),Metallic_Radius_Table!A:A,Metallic_Radius_Table!B:B))</f>
        <v>1.46</v>
      </c>
      <c r="R29" s="0" t="str">
        <f aca="false">IF(G29&gt;=1,   "Ferromagnetic / Ferrimagnetic",   IF(G29&gt;=0.05,      "Paramagnetic / Weakly magnetic",      "Antiferromagnetic / Diamagnetic"))</f>
        <v>Ferromagnetic / Ferrimagnetic</v>
      </c>
      <c r="U29" s="0" t="str">
        <f aca="false">IF(G29&gt;=1,
   "FM → PM (Curie-type)",
   IF(G29&lt;0.05,
      "AFM → PM (Néel-type)",
      "No long-range magnetic transition"))</f>
        <v>FM → PM (Curie-type)</v>
      </c>
    </row>
    <row r="30" customFormat="false" ht="13.8" hidden="false" customHeight="false" outlineLevel="0" collapsed="false">
      <c r="A30" s="0" t="s">
        <v>92</v>
      </c>
      <c r="B30" s="0" t="s">
        <v>88</v>
      </c>
      <c r="C30" s="0" t="s">
        <v>89</v>
      </c>
      <c r="D30" s="0" t="n">
        <v>-2.873255236</v>
      </c>
      <c r="E30" s="0" t="n">
        <v>0.022298484499984</v>
      </c>
      <c r="F30" s="0" t="n">
        <v>1.34979999999999</v>
      </c>
      <c r="G30" s="0" t="n">
        <v>20.0003999</v>
      </c>
      <c r="H30" s="0" t="s">
        <v>86</v>
      </c>
      <c r="I30" s="2" t="b">
        <f aca="false">TRUE()</f>
        <v>1</v>
      </c>
      <c r="J30" s="0" t="str">
        <f aca="false">IF(AND(CODE(MID(B30,2,1))&gt;=97,CODE(MID(B30,2,1))&lt;=122),LEFT(B30,2),LEFT(B30,1))</f>
        <v>Ba</v>
      </c>
      <c r="K30" s="0" t="n">
        <f aca="false">IF(J30="","",_xlfn.XLOOKUP(TRIM(J30),Metallic_Radius_Table!A:A,Metallic_Radius_Table!B:B))</f>
        <v>2.17</v>
      </c>
      <c r="L30" s="0" t="str">
        <f aca="false">IF(ISNUMBER(SEARCH("La",B30)),"La",
 IF(ISNUMBER(SEARCH("Nd",B30)),"Nd",
 IF(ISNUMBER(SEARCH("Eu",B30)),"Eu",
 IF(ISNUMBER(SEARCH("Gd",B30)),"Gd",""))))</f>
        <v/>
      </c>
      <c r="M30" s="0" t="str">
        <f aca="false">IF(L30="","",_xlfn.XLOOKUP(TRIM(L30),Metallic_Radius_Table!A:A,Metallic_Radius_Table!B:B))</f>
        <v/>
      </c>
      <c r="N30" s="0" t="str">
        <f aca="false">TRIM(LEFT(C30,FIND(",",C30)-1))</f>
        <v>Fe</v>
      </c>
      <c r="O30" s="3" t="n">
        <f aca="false">IF(N30="","",_xlfn.XLOOKUP(TRIM(N30),Metallic_Radius_Table!A:A,Metallic_Radius_Table!B:B))</f>
        <v>1.26</v>
      </c>
      <c r="P30" s="0" t="str">
        <f aca="false">TRIM(MID(C30,FIND(",",C30)+1,5))</f>
        <v>Nb</v>
      </c>
      <c r="Q30" s="0" t="n">
        <f aca="false">IF(P30="","",_xlfn.XLOOKUP(TRIM(P30),Metallic_Radius_Table!A:A,Metallic_Radius_Table!B:B))</f>
        <v>1.46</v>
      </c>
      <c r="R30" s="0" t="str">
        <f aca="false">IF(G30&gt;=1,   "Ferromagnetic / Ferrimagnetic",   IF(G30&gt;=0.05,      "Paramagnetic / Weakly magnetic",      "Antiferromagnetic / Diamagnetic"))</f>
        <v>Ferromagnetic / Ferrimagnetic</v>
      </c>
      <c r="U30" s="0" t="str">
        <f aca="false">IF(G30&gt;=1,
   "FM → PM (Curie-type)",
   IF(G30&lt;0.05,
      "AFM → PM (Néel-type)",
      "No long-range magnetic transition"))</f>
        <v>FM → PM (Curie-type)</v>
      </c>
    </row>
    <row r="31" customFormat="false" ht="13.8" hidden="false" customHeight="false" outlineLevel="0" collapsed="false">
      <c r="A31" s="0" t="s">
        <v>93</v>
      </c>
      <c r="B31" s="0" t="s">
        <v>94</v>
      </c>
      <c r="C31" s="0" t="s">
        <v>95</v>
      </c>
      <c r="D31" s="0" t="n">
        <v>-2.733223787</v>
      </c>
      <c r="E31" s="0" t="n">
        <v>0</v>
      </c>
      <c r="F31" s="0" t="n">
        <v>0.8889</v>
      </c>
      <c r="G31" s="4" t="n">
        <v>7.22E-005</v>
      </c>
      <c r="H31" s="0" t="s">
        <v>22</v>
      </c>
      <c r="I31" s="2" t="b">
        <f aca="false">TRUE()</f>
        <v>1</v>
      </c>
      <c r="J31" s="0" t="str">
        <f aca="false">IF(AND(CODE(MID(B31,2,1))&gt;=97,CODE(MID(B31,2,1))&lt;=122),LEFT(B31,2),LEFT(B31,1))</f>
        <v>Ba</v>
      </c>
      <c r="K31" s="0" t="n">
        <f aca="false">IF(J31="","",_xlfn.XLOOKUP(TRIM(J31),Metallic_Radius_Table!A:A,Metallic_Radius_Table!B:B))</f>
        <v>2.17</v>
      </c>
      <c r="L31" s="0" t="str">
        <f aca="false">IF(ISNUMBER(SEARCH("La",B31)),"La",
 IF(ISNUMBER(SEARCH("Nd",B31)),"Nd",
 IF(ISNUMBER(SEARCH("Eu",B31)),"Eu",
 IF(ISNUMBER(SEARCH("Gd",B31)),"Gd",""))))</f>
        <v/>
      </c>
      <c r="M31" s="0" t="str">
        <f aca="false">IF(L31="","",_xlfn.XLOOKUP(TRIM(L31),Metallic_Radius_Table!A:A,Metallic_Radius_Table!B:B))</f>
        <v/>
      </c>
      <c r="N31" s="0" t="str">
        <f aca="false">TRIM(LEFT(C31,FIND(",",C31)-1))</f>
        <v>Nb</v>
      </c>
      <c r="O31" s="3" t="n">
        <f aca="false">IF(N31="","",_xlfn.XLOOKUP(TRIM(N31),Metallic_Radius_Table!A:A,Metallic_Radius_Table!B:B))</f>
        <v>1.46</v>
      </c>
      <c r="P31" s="0" t="str">
        <f aca="false">TRIM(MID(C31,FIND(",",C31)+1,5))</f>
        <v>Rh</v>
      </c>
      <c r="Q31" s="0" t="n">
        <f aca="false">IF(P31="","",_xlfn.XLOOKUP(TRIM(P31),Metallic_Radius_Table!A:A,Metallic_Radius_Table!B:B))</f>
        <v>1.34</v>
      </c>
      <c r="R31" s="0" t="str">
        <f aca="false">IF(G31&gt;=1,   "Ferromagnetic / Ferrimagnetic",   IF(G31&gt;=0.05,      "Paramagnetic / Weakly magnetic",      "Antiferromagnetic / Diamagnetic"))</f>
        <v>Antiferromagnetic / Diamagnetic</v>
      </c>
      <c r="U31" s="0" t="str">
        <f aca="false">IF(G31&gt;=1,
   "FM → PM (Curie-type)",
   IF(G31&lt;0.05,
      "AFM → PM (Néel-type)",
      "No long-range magnetic transition"))</f>
        <v>AFM → PM (Néel-type)</v>
      </c>
    </row>
    <row r="32" customFormat="false" ht="13.8" hidden="false" customHeight="false" outlineLevel="0" collapsed="false">
      <c r="A32" s="0" t="s">
        <v>96</v>
      </c>
      <c r="B32" s="0" t="s">
        <v>97</v>
      </c>
      <c r="C32" s="0" t="s">
        <v>98</v>
      </c>
      <c r="D32" s="0" t="n">
        <v>-3.119411723</v>
      </c>
      <c r="E32" s="0" t="n">
        <v>0</v>
      </c>
      <c r="F32" s="0" t="n">
        <v>0</v>
      </c>
      <c r="G32" s="0" t="n">
        <v>0.000232099999999</v>
      </c>
      <c r="H32" s="0" t="s">
        <v>43</v>
      </c>
      <c r="I32" s="2" t="b">
        <f aca="false">TRUE()</f>
        <v>1</v>
      </c>
      <c r="J32" s="0" t="str">
        <f aca="false">IF(AND(CODE(MID(B32,2,1))&gt;=97,CODE(MID(B32,2,1))&lt;=122),LEFT(B32,2),LEFT(B32,1))</f>
        <v>Ba</v>
      </c>
      <c r="K32" s="0" t="n">
        <f aca="false">IF(J32="","",_xlfn.XLOOKUP(TRIM(J32),Metallic_Radius_Table!A:A,Metallic_Radius_Table!B:B))</f>
        <v>2.17</v>
      </c>
      <c r="L32" s="0" t="str">
        <f aca="false">IF(ISNUMBER(SEARCH("La",B32)),"La",
 IF(ISNUMBER(SEARCH("Nd",B32)),"Nd",
 IF(ISNUMBER(SEARCH("Eu",B32)),"Eu",
 IF(ISNUMBER(SEARCH("Gd",B32)),"Gd",""))))</f>
        <v/>
      </c>
      <c r="M32" s="0" t="str">
        <f aca="false">IF(L32="","",_xlfn.XLOOKUP(TRIM(L32),Metallic_Radius_Table!A:A,Metallic_Radius_Table!B:B))</f>
        <v/>
      </c>
      <c r="N32" s="0" t="str">
        <f aca="false">TRIM(LEFT(C32,FIND(",",C32)-1))</f>
        <v>Nb</v>
      </c>
      <c r="O32" s="3" t="n">
        <f aca="false">IF(N32="","",_xlfn.XLOOKUP(TRIM(N32),Metallic_Radius_Table!A:A,Metallic_Radius_Table!B:B))</f>
        <v>1.46</v>
      </c>
      <c r="P32" s="0" t="str">
        <f aca="false">TRIM(MID(C32,FIND(",",C32)+1,5))</f>
        <v>V</v>
      </c>
      <c r="Q32" s="0" t="n">
        <f aca="false">IF(P32="","",_xlfn.XLOOKUP(TRIM(P32),Metallic_Radius_Table!A:A,Metallic_Radius_Table!B:B))</f>
        <v>1.34</v>
      </c>
      <c r="R32" s="0" t="str">
        <f aca="false">IF(G32&gt;=1,   "Ferromagnetic / Ferrimagnetic",   IF(G32&gt;=0.05,      "Paramagnetic / Weakly magnetic",      "Antiferromagnetic / Diamagnetic"))</f>
        <v>Antiferromagnetic / Diamagnetic</v>
      </c>
      <c r="U32" s="0" t="str">
        <f aca="false">IF(G32&gt;=1,
   "FM → PM (Curie-type)",
   IF(G32&lt;0.05,
      "AFM → PM (Néel-type)",
      "No long-range magnetic transition"))</f>
        <v>AFM → PM (Néel-type)</v>
      </c>
    </row>
    <row r="33" customFormat="false" ht="13.8" hidden="false" customHeight="false" outlineLevel="0" collapsed="false">
      <c r="A33" s="0" t="s">
        <v>99</v>
      </c>
      <c r="B33" s="0" t="s">
        <v>97</v>
      </c>
      <c r="C33" s="0" t="s">
        <v>98</v>
      </c>
      <c r="D33" s="0" t="n">
        <v>-3.094641198</v>
      </c>
      <c r="E33" s="0" t="n">
        <v>0.024770524999999</v>
      </c>
      <c r="F33" s="0" t="n">
        <v>0</v>
      </c>
      <c r="G33" s="0" t="n">
        <v>0.1300782</v>
      </c>
      <c r="H33" s="0" t="s">
        <v>54</v>
      </c>
      <c r="I33" s="2" t="b">
        <f aca="false">TRUE()</f>
        <v>1</v>
      </c>
      <c r="J33" s="0" t="str">
        <f aca="false">IF(AND(CODE(MID(B33,2,1))&gt;=97,CODE(MID(B33,2,1))&lt;=122),LEFT(B33,2),LEFT(B33,1))</f>
        <v>Ba</v>
      </c>
      <c r="K33" s="0" t="n">
        <f aca="false">IF(J33="","",_xlfn.XLOOKUP(TRIM(J33),Metallic_Radius_Table!A:A,Metallic_Radius_Table!B:B))</f>
        <v>2.17</v>
      </c>
      <c r="L33" s="0" t="str">
        <f aca="false">IF(ISNUMBER(SEARCH("La",B33)),"La",
 IF(ISNUMBER(SEARCH("Nd",B33)),"Nd",
 IF(ISNUMBER(SEARCH("Eu",B33)),"Eu",
 IF(ISNUMBER(SEARCH("Gd",B33)),"Gd",""))))</f>
        <v/>
      </c>
      <c r="M33" s="0" t="str">
        <f aca="false">IF(L33="","",_xlfn.XLOOKUP(TRIM(L33),Metallic_Radius_Table!A:A,Metallic_Radius_Table!B:B))</f>
        <v/>
      </c>
      <c r="N33" s="0" t="str">
        <f aca="false">TRIM(LEFT(C33,FIND(",",C33)-1))</f>
        <v>Nb</v>
      </c>
      <c r="O33" s="3" t="n">
        <f aca="false">IF(N33="","",_xlfn.XLOOKUP(TRIM(N33),Metallic_Radius_Table!A:A,Metallic_Radius_Table!B:B))</f>
        <v>1.46</v>
      </c>
      <c r="P33" s="0" t="str">
        <f aca="false">TRIM(MID(C33,FIND(",",C33)+1,5))</f>
        <v>V</v>
      </c>
      <c r="Q33" s="0" t="n">
        <f aca="false">IF(P33="","",_xlfn.XLOOKUP(TRIM(P33),Metallic_Radius_Table!A:A,Metallic_Radius_Table!B:B))</f>
        <v>1.34</v>
      </c>
      <c r="R33" s="0" t="str">
        <f aca="false">IF(G33&gt;=1,   "Ferromagnetic / Ferrimagnetic",   IF(G33&gt;=0.05,      "Paramagnetic / Weakly magnetic",      "Antiferromagnetic / Diamagnetic"))</f>
        <v>Paramagnetic / Weakly magnetic</v>
      </c>
      <c r="U33" s="0" t="str">
        <f aca="false">IF(G33&gt;=1,
   "FM → PM (Curie-type)",
   IF(G33&lt;0.05,
      "AFM → PM (Néel-type)",
      "No long-range magnetic transition"))</f>
        <v>No long-range magnetic transition</v>
      </c>
    </row>
    <row r="34" customFormat="false" ht="13.8" hidden="false" customHeight="false" outlineLevel="0" collapsed="false">
      <c r="A34" s="0" t="s">
        <v>100</v>
      </c>
      <c r="B34" s="0" t="s">
        <v>101</v>
      </c>
      <c r="C34" s="0" t="s">
        <v>102</v>
      </c>
      <c r="D34" s="0" t="n">
        <v>-2.44925213</v>
      </c>
      <c r="E34" s="0" t="n">
        <v>0</v>
      </c>
      <c r="F34" s="0" t="n">
        <v>2.3514</v>
      </c>
      <c r="G34" s="0" t="n">
        <v>0</v>
      </c>
      <c r="H34" s="0" t="s">
        <v>22</v>
      </c>
      <c r="I34" s="2" t="b">
        <f aca="false">TRUE()</f>
        <v>1</v>
      </c>
      <c r="J34" s="0" t="str">
        <f aca="false">IF(AND(CODE(MID(B34,2,1))&gt;=97,CODE(MID(B34,2,1))&lt;=122),LEFT(B34,2),LEFT(B34,1))</f>
        <v>Ba</v>
      </c>
      <c r="K34" s="0" t="n">
        <f aca="false">IF(J34="","",_xlfn.XLOOKUP(TRIM(J34),Metallic_Radius_Table!A:A,Metallic_Radius_Table!B:B))</f>
        <v>2.17</v>
      </c>
      <c r="L34" s="0" t="str">
        <f aca="false">IF(ISNUMBER(SEARCH("La",B34)),"La",
 IF(ISNUMBER(SEARCH("Nd",B34)),"Nd",
 IF(ISNUMBER(SEARCH("Eu",B34)),"Eu",
 IF(ISNUMBER(SEARCH("Gd",B34)),"Gd",""))))</f>
        <v/>
      </c>
      <c r="M34" s="0" t="str">
        <f aca="false">IF(L34="","",_xlfn.XLOOKUP(TRIM(L34),Metallic_Radius_Table!A:A,Metallic_Radius_Table!B:B))</f>
        <v/>
      </c>
      <c r="N34" s="0" t="str">
        <f aca="false">TRIM(LEFT(C34,FIND(",",C34)-1))</f>
        <v>Ni</v>
      </c>
      <c r="O34" s="3" t="n">
        <f aca="false">IF(N34="","",_xlfn.XLOOKUP(TRIM(N34),Metallic_Radius_Table!A:A,Metallic_Radius_Table!B:B))</f>
        <v>1.24</v>
      </c>
      <c r="P34" s="0" t="str">
        <f aca="false">TRIM(MID(C34,FIND(",",C34)+1,5))</f>
        <v>Mo</v>
      </c>
      <c r="Q34" s="0" t="n">
        <f aca="false">IF(P34="","",_xlfn.XLOOKUP(TRIM(P34),Metallic_Radius_Table!A:A,Metallic_Radius_Table!B:B))</f>
        <v>1.39</v>
      </c>
      <c r="R34" s="0" t="str">
        <f aca="false">IF(G34&gt;=1,   "Ferromagnetic / Ferrimagnetic",   IF(G34&gt;=0.05,      "Paramagnetic / Weakly magnetic",      "Antiferromagnetic / Diamagnetic"))</f>
        <v>Antiferromagnetic / Diamagnetic</v>
      </c>
      <c r="U34" s="0" t="str">
        <f aca="false">IF(G34&gt;=1,
   "FM → PM (Curie-type)",
   IF(G34&lt;0.05,
      "AFM → PM (Néel-type)",
      "No long-range magnetic transition"))</f>
        <v>AFM → PM (Néel-type)</v>
      </c>
    </row>
    <row r="35" customFormat="false" ht="13.8" hidden="false" customHeight="false" outlineLevel="0" collapsed="false">
      <c r="A35" s="0" t="s">
        <v>103</v>
      </c>
      <c r="B35" s="0" t="s">
        <v>104</v>
      </c>
      <c r="C35" s="0" t="s">
        <v>105</v>
      </c>
      <c r="D35" s="0" t="n">
        <v>-2.068848193</v>
      </c>
      <c r="E35" s="0" t="n">
        <v>0.025932189499996</v>
      </c>
      <c r="F35" s="0" t="n">
        <v>0.004</v>
      </c>
      <c r="G35" s="0" t="n">
        <v>15.9818678</v>
      </c>
      <c r="H35" s="0" t="s">
        <v>86</v>
      </c>
      <c r="I35" s="2" t="b">
        <f aca="false">TRUE()</f>
        <v>1</v>
      </c>
      <c r="J35" s="0" t="str">
        <f aca="false">IF(AND(CODE(MID(B35,2,1))&gt;=97,CODE(MID(B35,2,1))&lt;=122),LEFT(B35,2),LEFT(B35,1))</f>
        <v>Ba</v>
      </c>
      <c r="K35" s="0" t="n">
        <f aca="false">IF(J35="","",_xlfn.XLOOKUP(TRIM(J35),Metallic_Radius_Table!A:A,Metallic_Radius_Table!B:B))</f>
        <v>2.17</v>
      </c>
      <c r="L35" s="0" t="str">
        <f aca="false">IF(ISNUMBER(SEARCH("La",B35)),"La",
 IF(ISNUMBER(SEARCH("Nd",B35)),"Nd",
 IF(ISNUMBER(SEARCH("Eu",B35)),"Eu",
 IF(ISNUMBER(SEARCH("Gd",B35)),"Gd",""))))</f>
        <v/>
      </c>
      <c r="M35" s="0" t="str">
        <f aca="false">IF(L35="","",_xlfn.XLOOKUP(TRIM(L35),Metallic_Radius_Table!A:A,Metallic_Radius_Table!B:B))</f>
        <v/>
      </c>
      <c r="N35" s="0" t="str">
        <f aca="false">TRIM(LEFT(C35,FIND(",",C35)-1))</f>
        <v>Ni</v>
      </c>
      <c r="O35" s="3" t="n">
        <f aca="false">IF(N35="","",_xlfn.XLOOKUP(TRIM(N35),Metallic_Radius_Table!A:A,Metallic_Radius_Table!B:B))</f>
        <v>1.24</v>
      </c>
      <c r="P35" s="0" t="str">
        <f aca="false">TRIM(MID(C35,FIND(",",C35)+1,5))</f>
        <v>Ru</v>
      </c>
      <c r="Q35" s="0" t="n">
        <f aca="false">IF(P35="","",_xlfn.XLOOKUP(TRIM(P35),Metallic_Radius_Table!A:A,Metallic_Radius_Table!B:B))</f>
        <v>1.34</v>
      </c>
      <c r="R35" s="0" t="str">
        <f aca="false">IF(G35&gt;=1,   "Ferromagnetic / Ferrimagnetic",   IF(G35&gt;=0.05,      "Paramagnetic / Weakly magnetic",      "Antiferromagnetic / Diamagnetic"))</f>
        <v>Ferromagnetic / Ferrimagnetic</v>
      </c>
      <c r="U35" s="0" t="str">
        <f aca="false">IF(G35&gt;=1,
   "FM → PM (Curie-type)",
   IF(G35&lt;0.05,
      "AFM → PM (Néel-type)",
      "No long-range magnetic transition"))</f>
        <v>FM → PM (Curie-type)</v>
      </c>
    </row>
    <row r="36" customFormat="false" ht="13.8" hidden="false" customHeight="false" outlineLevel="0" collapsed="false">
      <c r="A36" s="0" t="s">
        <v>106</v>
      </c>
      <c r="B36" s="0" t="s">
        <v>107</v>
      </c>
      <c r="C36" s="0" t="s">
        <v>108</v>
      </c>
      <c r="D36" s="0" t="n">
        <v>-2.56365896249999</v>
      </c>
      <c r="E36" s="0" t="n">
        <v>0</v>
      </c>
      <c r="F36" s="0" t="n">
        <v>3.3409</v>
      </c>
      <c r="G36" s="0" t="n">
        <v>0</v>
      </c>
      <c r="H36" s="0" t="s">
        <v>22</v>
      </c>
      <c r="I36" s="2" t="b">
        <f aca="false">TRUE()</f>
        <v>1</v>
      </c>
      <c r="J36" s="0" t="str">
        <f aca="false">IF(AND(CODE(MID(B36,2,1))&gt;=97,CODE(MID(B36,2,1))&lt;=122),LEFT(B36,2),LEFT(B36,1))</f>
        <v>Ba</v>
      </c>
      <c r="K36" s="0" t="n">
        <f aca="false">IF(J36="","",_xlfn.XLOOKUP(TRIM(J36),Metallic_Radius_Table!A:A,Metallic_Radius_Table!B:B))</f>
        <v>2.17</v>
      </c>
      <c r="L36" s="0" t="str">
        <f aca="false">IF(ISNUMBER(SEARCH("La",B36)),"La",
 IF(ISNUMBER(SEARCH("Nd",B36)),"Nd",
 IF(ISNUMBER(SEARCH("Eu",B36)),"Eu",
 IF(ISNUMBER(SEARCH("Gd",B36)),"Gd",""))))</f>
        <v/>
      </c>
      <c r="M36" s="0" t="str">
        <f aca="false">IF(L36="","",_xlfn.XLOOKUP(TRIM(L36),Metallic_Radius_Table!A:A,Metallic_Radius_Table!B:B))</f>
        <v/>
      </c>
      <c r="N36" s="0" t="str">
        <f aca="false">TRIM(LEFT(C36,FIND(",",C36)-1))</f>
        <v>Ni</v>
      </c>
      <c r="O36" s="3" t="n">
        <f aca="false">IF(N36="","",_xlfn.XLOOKUP(TRIM(N36),Metallic_Radius_Table!A:A,Metallic_Radius_Table!B:B))</f>
        <v>1.24</v>
      </c>
      <c r="P36" s="0" t="str">
        <f aca="false">TRIM(MID(C36,FIND(",",C36)+1,5))</f>
        <v>W</v>
      </c>
      <c r="Q36" s="0" t="n">
        <f aca="false">IF(P36="","",_xlfn.XLOOKUP(TRIM(P36),Metallic_Radius_Table!A:A,Metallic_Radius_Table!B:B))</f>
        <v>1.41</v>
      </c>
      <c r="R36" s="0" t="str">
        <f aca="false">IF(G36&gt;=1,   "Ferromagnetic / Ferrimagnetic",   IF(G36&gt;=0.05,      "Paramagnetic / Weakly magnetic",      "Antiferromagnetic / Diamagnetic"))</f>
        <v>Antiferromagnetic / Diamagnetic</v>
      </c>
      <c r="U36" s="0" t="str">
        <f aca="false">IF(G36&gt;=1,
   "FM → PM (Curie-type)",
   IF(G36&lt;0.05,
      "AFM → PM (Néel-type)",
      "No long-range magnetic transition"))</f>
        <v>AFM → PM (Néel-type)</v>
      </c>
    </row>
    <row r="37" customFormat="false" ht="13.8" hidden="false" customHeight="false" outlineLevel="0" collapsed="false">
      <c r="A37" s="0" t="s">
        <v>109</v>
      </c>
      <c r="B37" s="0" t="s">
        <v>110</v>
      </c>
      <c r="C37" s="0" t="s">
        <v>53</v>
      </c>
      <c r="D37" s="0" t="n">
        <v>-2.498643676</v>
      </c>
      <c r="E37" s="0" t="n">
        <v>0.157696589250001</v>
      </c>
      <c r="F37" s="0" t="n">
        <v>0</v>
      </c>
      <c r="G37" s="0" t="n">
        <v>3.99999989999999</v>
      </c>
      <c r="H37" s="0" t="s">
        <v>111</v>
      </c>
      <c r="I37" s="2" t="b">
        <f aca="false">TRUE()</f>
        <v>1</v>
      </c>
      <c r="J37" s="0" t="str">
        <f aca="false">IF(AND(CODE(MID(B37,2,1))&gt;=97,CODE(MID(B37,2,1))&lt;=122),LEFT(B37,2),LEFT(B37,1))</f>
        <v>Ba</v>
      </c>
      <c r="K37" s="0" t="n">
        <f aca="false">IF(J37="","",_xlfn.XLOOKUP(TRIM(J37),Metallic_Radius_Table!A:A,Metallic_Radius_Table!B:B))</f>
        <v>2.17</v>
      </c>
      <c r="L37" s="0" t="str">
        <f aca="false">IF(ISNUMBER(SEARCH("La",B37)),"La",
 IF(ISNUMBER(SEARCH("Nd",B37)),"Nd",
 IF(ISNUMBER(SEARCH("Eu",B37)),"Eu",
 IF(ISNUMBER(SEARCH("Gd",B37)),"Gd",""))))</f>
        <v/>
      </c>
      <c r="M37" s="0" t="str">
        <f aca="false">IF(L37="","",_xlfn.XLOOKUP(TRIM(L37),Metallic_Radius_Table!A:A,Metallic_Radius_Table!B:B))</f>
        <v/>
      </c>
      <c r="N37" s="0" t="str">
        <f aca="false">TRIM(LEFT(C37,FIND(",",C37)-1))</f>
        <v>Fe</v>
      </c>
      <c r="O37" s="3" t="n">
        <f aca="false">IF(N37="","",_xlfn.XLOOKUP(TRIM(N37),Metallic_Radius_Table!A:A,Metallic_Radius_Table!B:B))</f>
        <v>1.26</v>
      </c>
      <c r="P37" s="0" t="str">
        <f aca="false">TRIM(MID(C37,FIND(",",C37)+1,5))</f>
        <v>W</v>
      </c>
      <c r="Q37" s="0" t="n">
        <f aca="false">IF(P37="","",_xlfn.XLOOKUP(TRIM(P37),Metallic_Radius_Table!A:A,Metallic_Radius_Table!B:B))</f>
        <v>1.41</v>
      </c>
      <c r="R37" s="0" t="str">
        <f aca="false">IF(G37&gt;=1,   "Ferromagnetic / Ferrimagnetic",   IF(G37&gt;=0.05,      "Paramagnetic / Weakly magnetic",      "Antiferromagnetic / Diamagnetic"))</f>
        <v>Ferromagnetic / Ferrimagnetic</v>
      </c>
      <c r="U37" s="0" t="str">
        <f aca="false">IF(G37&gt;=1,
   "FM → PM (Curie-type)",
   IF(G37&lt;0.05,
      "AFM → PM (Néel-type)",
      "No long-range magnetic transition"))</f>
        <v>FM → PM (Curie-type)</v>
      </c>
    </row>
    <row r="38" customFormat="false" ht="13.8" hidden="false" customHeight="false" outlineLevel="0" collapsed="false">
      <c r="A38" s="0" t="s">
        <v>112</v>
      </c>
      <c r="B38" s="0" t="s">
        <v>113</v>
      </c>
      <c r="C38" s="0" t="s">
        <v>114</v>
      </c>
      <c r="D38" s="0" t="n">
        <v>-3.38067126699999</v>
      </c>
      <c r="E38" s="0" t="n">
        <v>0.121074810656251</v>
      </c>
      <c r="F38" s="0" t="n">
        <v>0</v>
      </c>
      <c r="G38" s="0" t="n">
        <v>0.0353277</v>
      </c>
      <c r="H38" s="0" t="s">
        <v>111</v>
      </c>
      <c r="I38" s="2" t="b">
        <f aca="false">TRUE()</f>
        <v>1</v>
      </c>
      <c r="J38" s="0" t="str">
        <f aca="false">IF(AND(CODE(MID(B38,2,1))&gt;=97,CODE(MID(B38,2,1))&lt;=122),LEFT(B38,2),LEFT(B38,1))</f>
        <v>Ba</v>
      </c>
      <c r="K38" s="0" t="n">
        <f aca="false">IF(J38="","",_xlfn.XLOOKUP(TRIM(J38),Metallic_Radius_Table!A:A,Metallic_Radius_Table!B:B))</f>
        <v>2.17</v>
      </c>
      <c r="L38" s="0" t="str">
        <f aca="false">IF(ISNUMBER(SEARCH("La",B38)),"La",
 IF(ISNUMBER(SEARCH("Nd",B38)),"Nd",
 IF(ISNUMBER(SEARCH("Eu",B38)),"Eu",
 IF(ISNUMBER(SEARCH("Gd",B38)),"Gd",""))))</f>
        <v/>
      </c>
      <c r="M38" s="0" t="str">
        <f aca="false">IF(L38="","",_xlfn.XLOOKUP(TRIM(L38),Metallic_Radius_Table!A:A,Metallic_Radius_Table!B:B))</f>
        <v/>
      </c>
      <c r="N38" s="0" t="str">
        <f aca="false">TRIM(LEFT(C38,FIND(",",C38)-1))</f>
        <v>Nb</v>
      </c>
      <c r="O38" s="3" t="n">
        <f aca="false">IF(N38="","",_xlfn.XLOOKUP(TRIM(N38),Metallic_Radius_Table!A:A,Metallic_Radius_Table!B:B))</f>
        <v>1.46</v>
      </c>
      <c r="P38" s="0" t="str">
        <f aca="false">TRIM(MID(C38,FIND(",",C38)+1,5))</f>
        <v>Hf</v>
      </c>
      <c r="Q38" s="0" t="n">
        <f aca="false">IF(P38="","",_xlfn.XLOOKUP(TRIM(P38),Metallic_Radius_Table!A:A,Metallic_Radius_Table!B:B))</f>
        <v>1.59</v>
      </c>
      <c r="R38" s="0" t="str">
        <f aca="false">IF(G38&gt;=1,   "Ferromagnetic / Ferrimagnetic",   IF(G38&gt;=0.05,      "Paramagnetic / Weakly magnetic",      "Antiferromagnetic / Diamagnetic"))</f>
        <v>Antiferromagnetic / Diamagnetic</v>
      </c>
      <c r="U38" s="0" t="str">
        <f aca="false">IF(G38&gt;=1,
   "FM → PM (Curie-type)",
   IF(G38&lt;0.05,
      "AFM → PM (Néel-type)",
      "No long-range magnetic transition"))</f>
        <v>AFM → PM (Néel-type)</v>
      </c>
    </row>
    <row r="39" customFormat="false" ht="13.8" hidden="false" customHeight="false" outlineLevel="0" collapsed="false">
      <c r="A39" s="0" t="s">
        <v>115</v>
      </c>
      <c r="B39" s="0" t="s">
        <v>116</v>
      </c>
      <c r="C39" s="0" t="s">
        <v>117</v>
      </c>
      <c r="D39" s="0" t="n">
        <v>-3.056130819</v>
      </c>
      <c r="E39" s="0" t="n">
        <v>0.180937930749996</v>
      </c>
      <c r="F39" s="0" t="n">
        <v>0</v>
      </c>
      <c r="G39" s="0" t="n">
        <v>2</v>
      </c>
      <c r="H39" s="0" t="s">
        <v>111</v>
      </c>
      <c r="I39" s="2" t="b">
        <f aca="false">TRUE()</f>
        <v>1</v>
      </c>
      <c r="J39" s="0" t="str">
        <f aca="false">IF(AND(CODE(MID(B39,2,1))&gt;=97,CODE(MID(B39,2,1))&lt;=122),LEFT(B39,2),LEFT(B39,1))</f>
        <v>Ba</v>
      </c>
      <c r="K39" s="0" t="n">
        <f aca="false">IF(J39="","",_xlfn.XLOOKUP(TRIM(J39),Metallic_Radius_Table!A:A,Metallic_Radius_Table!B:B))</f>
        <v>2.17</v>
      </c>
      <c r="L39" s="0" t="str">
        <f aca="false">IF(ISNUMBER(SEARCH("La",B39)),"La",
 IF(ISNUMBER(SEARCH("Nd",B39)),"Nd",
 IF(ISNUMBER(SEARCH("Eu",B39)),"Eu",
 IF(ISNUMBER(SEARCH("Gd",B39)),"Gd",""))))</f>
        <v/>
      </c>
      <c r="M39" s="0" t="str">
        <f aca="false">IF(L39="","",_xlfn.XLOOKUP(TRIM(L39),Metallic_Radius_Table!A:A,Metallic_Radius_Table!B:B))</f>
        <v/>
      </c>
      <c r="N39" s="0" t="str">
        <f aca="false">TRIM(LEFT(C39,FIND(",",C39)-1))</f>
        <v>Hf</v>
      </c>
      <c r="O39" s="3" t="n">
        <f aca="false">IF(N39="","",_xlfn.XLOOKUP(TRIM(N39),Metallic_Radius_Table!A:A,Metallic_Radius_Table!B:B))</f>
        <v>1.59</v>
      </c>
      <c r="P39" s="0" t="str">
        <f aca="false">TRIM(MID(C39,FIND(",",C39)+1,5))</f>
        <v>W</v>
      </c>
      <c r="Q39" s="0" t="n">
        <f aca="false">IF(P39="","",_xlfn.XLOOKUP(TRIM(P39),Metallic_Radius_Table!A:A,Metallic_Radius_Table!B:B))</f>
        <v>1.41</v>
      </c>
      <c r="R39" s="0" t="str">
        <f aca="false">IF(G39&gt;=1,   "Ferromagnetic / Ferrimagnetic",   IF(G39&gt;=0.05,      "Paramagnetic / Weakly magnetic",      "Antiferromagnetic / Diamagnetic"))</f>
        <v>Ferromagnetic / Ferrimagnetic</v>
      </c>
      <c r="U39" s="0" t="str">
        <f aca="false">IF(G39&gt;=1,
   "FM → PM (Curie-type)",
   IF(G39&lt;0.05,
      "AFM → PM (Néel-type)",
      "No long-range magnetic transition"))</f>
        <v>FM → PM (Curie-type)</v>
      </c>
    </row>
    <row r="40" customFormat="false" ht="13.8" hidden="false" customHeight="false" outlineLevel="0" collapsed="false">
      <c r="A40" s="0" t="s">
        <v>118</v>
      </c>
      <c r="B40" s="0" t="s">
        <v>119</v>
      </c>
      <c r="C40" s="0" t="s">
        <v>120</v>
      </c>
      <c r="D40" s="0" t="n">
        <v>-3.635092758</v>
      </c>
      <c r="E40" s="0" t="n">
        <v>0.094996619000026</v>
      </c>
      <c r="F40" s="0" t="n">
        <v>3.3163</v>
      </c>
      <c r="G40" s="0" t="n">
        <v>0</v>
      </c>
      <c r="H40" s="0" t="s">
        <v>111</v>
      </c>
      <c r="I40" s="2" t="b">
        <f aca="false">TRUE()</f>
        <v>1</v>
      </c>
      <c r="J40" s="0" t="str">
        <f aca="false">IF(AND(CODE(MID(B40,2,1))&gt;=97,CODE(MID(B40,2,1))&lt;=122),LEFT(B40,2),LEFT(B40,1))</f>
        <v>Ba</v>
      </c>
      <c r="K40" s="0" t="n">
        <f aca="false">IF(J40="","",_xlfn.XLOOKUP(TRIM(J40),Metallic_Radius_Table!A:A,Metallic_Radius_Table!B:B))</f>
        <v>2.17</v>
      </c>
      <c r="L40" s="0" t="str">
        <f aca="false">IF(ISNUMBER(SEARCH("La",B40)),"La",
 IF(ISNUMBER(SEARCH("Nd",B40)),"Nd",
 IF(ISNUMBER(SEARCH("Eu",B40)),"Eu",
 IF(ISNUMBER(SEARCH("Gd",B40)),"Gd",""))))</f>
        <v/>
      </c>
      <c r="M40" s="0" t="str">
        <f aca="false">IF(L40="","",_xlfn.XLOOKUP(TRIM(L40),Metallic_Radius_Table!A:A,Metallic_Radius_Table!B:B))</f>
        <v/>
      </c>
      <c r="N40" s="0" t="str">
        <f aca="false">TRIM(LEFT(C40,FIND(",",C40)-1))</f>
        <v>Zr</v>
      </c>
      <c r="O40" s="3" t="n">
        <f aca="false">IF(N40="","",_xlfn.XLOOKUP(TRIM(N40),Metallic_Radius_Table!A:A,Metallic_Radius_Table!B:B))</f>
        <v>1.6</v>
      </c>
      <c r="P40" s="0" t="str">
        <f aca="false">TRIM(MID(C40,FIND(",",C40)+1,5))</f>
        <v>Hf</v>
      </c>
      <c r="Q40" s="0" t="n">
        <f aca="false">IF(P40="","",_xlfn.XLOOKUP(TRIM(P40),Metallic_Radius_Table!A:A,Metallic_Radius_Table!B:B))</f>
        <v>1.59</v>
      </c>
      <c r="R40" s="0" t="str">
        <f aca="false">IF(G40&gt;=1,   "Ferromagnetic / Ferrimagnetic",   IF(G40&gt;=0.05,      "Paramagnetic / Weakly magnetic",      "Antiferromagnetic / Diamagnetic"))</f>
        <v>Antiferromagnetic / Diamagnetic</v>
      </c>
      <c r="U40" s="0" t="str">
        <f aca="false">IF(G40&gt;=1,
   "FM → PM (Curie-type)",
   IF(G40&lt;0.05,
      "AFM → PM (Néel-type)",
      "No long-range magnetic transition"))</f>
        <v>AFM → PM (Néel-type)</v>
      </c>
    </row>
    <row r="41" customFormat="false" ht="13.8" hidden="false" customHeight="false" outlineLevel="0" collapsed="false">
      <c r="A41" s="0" t="s">
        <v>121</v>
      </c>
      <c r="B41" s="0" t="s">
        <v>122</v>
      </c>
      <c r="C41" s="0" t="s">
        <v>79</v>
      </c>
      <c r="D41" s="0" t="n">
        <v>-2.6703698287931</v>
      </c>
      <c r="E41" s="0" t="n">
        <v>0.091892590250006</v>
      </c>
      <c r="F41" s="0" t="n">
        <v>1.88519999999999</v>
      </c>
      <c r="G41" s="0" t="n">
        <v>5.0000003</v>
      </c>
      <c r="H41" s="0" t="s">
        <v>111</v>
      </c>
      <c r="I41" s="2" t="b">
        <f aca="false">TRUE()</f>
        <v>1</v>
      </c>
      <c r="J41" s="0" t="str">
        <f aca="false">IF(AND(CODE(MID(B41,2,1))&gt;=97,CODE(MID(B41,2,1))&lt;=122),LEFT(B41,2),LEFT(B41,1))</f>
        <v>Ba</v>
      </c>
      <c r="K41" s="0" t="n">
        <f aca="false">IF(J41="","",_xlfn.XLOOKUP(TRIM(J41),Metallic_Radius_Table!A:A,Metallic_Radius_Table!B:B))</f>
        <v>2.17</v>
      </c>
      <c r="L41" s="0" t="str">
        <f aca="false">IF(ISNUMBER(SEARCH("La",B41)),"La",
 IF(ISNUMBER(SEARCH("Nd",B41)),"Nd",
 IF(ISNUMBER(SEARCH("Eu",B41)),"Eu",
 IF(ISNUMBER(SEARCH("Gd",B41)),"Gd",""))))</f>
        <v/>
      </c>
      <c r="M41" s="0" t="str">
        <f aca="false">IF(L41="","",_xlfn.XLOOKUP(TRIM(L41),Metallic_Radius_Table!A:A,Metallic_Radius_Table!B:B))</f>
        <v/>
      </c>
      <c r="N41" s="0" t="str">
        <f aca="false">TRIM(LEFT(C41,FIND(",",C41)-1))</f>
        <v>Mn</v>
      </c>
      <c r="O41" s="3" t="n">
        <f aca="false">IF(N41="","",_xlfn.XLOOKUP(TRIM(N41),Metallic_Radius_Table!A:A,Metallic_Radius_Table!B:B))</f>
        <v>1.27</v>
      </c>
      <c r="P41" s="0" t="str">
        <f aca="false">TRIM(MID(C41,FIND(",",C41)+1,5))</f>
        <v>W</v>
      </c>
      <c r="Q41" s="0" t="n">
        <f aca="false">IF(P41="","",_xlfn.XLOOKUP(TRIM(P41),Metallic_Radius_Table!A:A,Metallic_Radius_Table!B:B))</f>
        <v>1.41</v>
      </c>
      <c r="R41" s="0" t="str">
        <f aca="false">IF(G41&gt;=1,   "Ferromagnetic / Ferrimagnetic",   IF(G41&gt;=0.05,      "Paramagnetic / Weakly magnetic",      "Antiferromagnetic / Diamagnetic"))</f>
        <v>Ferromagnetic / Ferrimagnetic</v>
      </c>
      <c r="U41" s="0" t="str">
        <f aca="false">IF(G41&gt;=1,
   "FM → PM (Curie-type)",
   IF(G41&lt;0.05,
      "AFM → PM (Néel-type)",
      "No long-range magnetic transition"))</f>
        <v>FM → PM (Curie-type)</v>
      </c>
    </row>
    <row r="42" customFormat="false" ht="13.8" hidden="false" customHeight="false" outlineLevel="0" collapsed="false">
      <c r="A42" s="0" t="s">
        <v>123</v>
      </c>
      <c r="B42" s="0" t="s">
        <v>124</v>
      </c>
      <c r="C42" s="0" t="s">
        <v>125</v>
      </c>
      <c r="D42" s="0" t="n">
        <v>-2.81802165</v>
      </c>
      <c r="E42" s="0" t="n">
        <v>0.158354321222232</v>
      </c>
      <c r="F42" s="0" t="n">
        <v>0.763099999999999</v>
      </c>
      <c r="G42" s="0" t="n">
        <v>2.99999989999999</v>
      </c>
      <c r="H42" s="0" t="s">
        <v>111</v>
      </c>
      <c r="I42" s="2" t="b">
        <f aca="false">TRUE()</f>
        <v>1</v>
      </c>
      <c r="J42" s="0" t="str">
        <f aca="false">IF(AND(CODE(MID(B42,2,1))&gt;=97,CODE(MID(B42,2,1))&lt;=122),LEFT(B42,2),LEFT(B42,1))</f>
        <v>Ba</v>
      </c>
      <c r="K42" s="0" t="n">
        <f aca="false">IF(J42="","",_xlfn.XLOOKUP(TRIM(J42),Metallic_Radius_Table!A:A,Metallic_Radius_Table!B:B))</f>
        <v>2.17</v>
      </c>
      <c r="L42" s="0" t="str">
        <f aca="false">IF(ISNUMBER(SEARCH("La",B42)),"La",
 IF(ISNUMBER(SEARCH("Nd",B42)),"Nd",
 IF(ISNUMBER(SEARCH("Eu",B42)),"Eu",
 IF(ISNUMBER(SEARCH("Gd",B42)),"Gd",""))))</f>
        <v/>
      </c>
      <c r="M42" s="0" t="str">
        <f aca="false">IF(L42="","",_xlfn.XLOOKUP(TRIM(L42),Metallic_Radius_Table!A:A,Metallic_Radius_Table!B:B))</f>
        <v/>
      </c>
      <c r="N42" s="0" t="str">
        <f aca="false">TRIM(LEFT(C42,FIND(",",C42)-1))</f>
        <v>Nb</v>
      </c>
      <c r="O42" s="3" t="n">
        <f aca="false">IF(N42="","",_xlfn.XLOOKUP(TRIM(N42),Metallic_Radius_Table!A:A,Metallic_Radius_Table!B:B))</f>
        <v>1.46</v>
      </c>
      <c r="P42" s="0" t="str">
        <f aca="false">TRIM(MID(C42,FIND(",",C42)+1,5))</f>
        <v>W</v>
      </c>
      <c r="Q42" s="0" t="n">
        <f aca="false">IF(P42="","",_xlfn.XLOOKUP(TRIM(P42),Metallic_Radius_Table!A:A,Metallic_Radius_Table!B:B))</f>
        <v>1.41</v>
      </c>
      <c r="R42" s="0" t="str">
        <f aca="false">IF(G42&gt;=1,   "Ferromagnetic / Ferrimagnetic",   IF(G42&gt;=0.05,      "Paramagnetic / Weakly magnetic",      "Antiferromagnetic / Diamagnetic"))</f>
        <v>Ferromagnetic / Ferrimagnetic</v>
      </c>
      <c r="U42" s="0" t="str">
        <f aca="false">IF(G42&gt;=1,
   "FM → PM (Curie-type)",
   IF(G42&lt;0.05,
      "AFM → PM (Néel-type)",
      "No long-range magnetic transition"))</f>
        <v>FM → PM (Curie-type)</v>
      </c>
    </row>
    <row r="43" customFormat="false" ht="13.8" hidden="false" customHeight="false" outlineLevel="0" collapsed="false">
      <c r="A43" s="0" t="s">
        <v>126</v>
      </c>
      <c r="B43" s="0" t="s">
        <v>127</v>
      </c>
      <c r="C43" s="0" t="s">
        <v>128</v>
      </c>
      <c r="D43" s="0" t="n">
        <v>-3.313915328</v>
      </c>
      <c r="E43" s="0" t="n">
        <v>0.113674588374994</v>
      </c>
      <c r="F43" s="0" t="n">
        <v>0</v>
      </c>
      <c r="G43" s="0" t="n">
        <v>0.0002061</v>
      </c>
      <c r="H43" s="0" t="s">
        <v>111</v>
      </c>
      <c r="I43" s="2" t="b">
        <f aca="false">TRUE()</f>
        <v>1</v>
      </c>
      <c r="J43" s="0" t="str">
        <f aca="false">IF(AND(CODE(MID(B43,2,1))&gt;=97,CODE(MID(B43,2,1))&lt;=122),LEFT(B43,2),LEFT(B43,1))</f>
        <v>Ba</v>
      </c>
      <c r="K43" s="0" t="n">
        <f aca="false">IF(J43="","",_xlfn.XLOOKUP(TRIM(J43),Metallic_Radius_Table!A:A,Metallic_Radius_Table!B:B))</f>
        <v>2.17</v>
      </c>
      <c r="L43" s="0" t="str">
        <f aca="false">IF(ISNUMBER(SEARCH("La",B43)),"La",
 IF(ISNUMBER(SEARCH("Nd",B43)),"Nd",
 IF(ISNUMBER(SEARCH("Eu",B43)),"Eu",
 IF(ISNUMBER(SEARCH("Gd",B43)),"Gd",""))))</f>
        <v/>
      </c>
      <c r="M43" s="0" t="str">
        <f aca="false">IF(L43="","",_xlfn.XLOOKUP(TRIM(L43),Metallic_Radius_Table!A:A,Metallic_Radius_Table!B:B))</f>
        <v/>
      </c>
      <c r="N43" s="0" t="str">
        <f aca="false">TRIM(LEFT(C43,FIND(",",C43)-1))</f>
        <v>Zr</v>
      </c>
      <c r="O43" s="3" t="n">
        <f aca="false">IF(N43="","",_xlfn.XLOOKUP(TRIM(N43),Metallic_Radius_Table!A:A,Metallic_Radius_Table!B:B))</f>
        <v>1.6</v>
      </c>
      <c r="P43" s="0" t="str">
        <f aca="false">TRIM(MID(C43,FIND(",",C43)+1,5))</f>
        <v>Nb</v>
      </c>
      <c r="Q43" s="0" t="n">
        <f aca="false">IF(P43="","",_xlfn.XLOOKUP(TRIM(P43),Metallic_Radius_Table!A:A,Metallic_Radius_Table!B:B))</f>
        <v>1.46</v>
      </c>
      <c r="R43" s="0" t="str">
        <f aca="false">IF(G43&gt;=1,   "Ferromagnetic / Ferrimagnetic",   IF(G43&gt;=0.05,      "Paramagnetic / Weakly magnetic",      "Antiferromagnetic / Diamagnetic"))</f>
        <v>Antiferromagnetic / Diamagnetic</v>
      </c>
      <c r="U43" s="0" t="str">
        <f aca="false">IF(G43&gt;=1,
   "FM → PM (Curie-type)",
   IF(G43&lt;0.05,
      "AFM → PM (Néel-type)",
      "No long-range magnetic transition"))</f>
        <v>AFM → PM (Néel-type)</v>
      </c>
    </row>
    <row r="44" customFormat="false" ht="13.8" hidden="false" customHeight="false" outlineLevel="0" collapsed="false">
      <c r="A44" s="0" t="s">
        <v>129</v>
      </c>
      <c r="B44" s="0" t="s">
        <v>130</v>
      </c>
      <c r="C44" s="0" t="s">
        <v>131</v>
      </c>
      <c r="D44" s="0" t="n">
        <v>-2.979708477</v>
      </c>
      <c r="E44" s="0" t="n">
        <v>0.194257001583331</v>
      </c>
      <c r="F44" s="0" t="n">
        <v>0</v>
      </c>
      <c r="G44" s="0" t="n">
        <v>1.9999999</v>
      </c>
      <c r="H44" s="0" t="s">
        <v>111</v>
      </c>
      <c r="I44" s="2" t="b">
        <f aca="false">TRUE()</f>
        <v>1</v>
      </c>
      <c r="J44" s="0" t="str">
        <f aca="false">IF(AND(CODE(MID(B44,2,1))&gt;=97,CODE(MID(B44,2,1))&lt;=122),LEFT(B44,2),LEFT(B44,1))</f>
        <v>Ba</v>
      </c>
      <c r="K44" s="0" t="n">
        <f aca="false">IF(J44="","",_xlfn.XLOOKUP(TRIM(J44),Metallic_Radius_Table!A:A,Metallic_Radius_Table!B:B))</f>
        <v>2.17</v>
      </c>
      <c r="L44" s="0" t="str">
        <f aca="false">IF(ISNUMBER(SEARCH("La",B44)),"La",
 IF(ISNUMBER(SEARCH("Nd",B44)),"Nd",
 IF(ISNUMBER(SEARCH("Eu",B44)),"Eu",
 IF(ISNUMBER(SEARCH("Gd",B44)),"Gd",""))))</f>
        <v/>
      </c>
      <c r="M44" s="0" t="str">
        <f aca="false">IF(L44="","",_xlfn.XLOOKUP(TRIM(L44),Metallic_Radius_Table!A:A,Metallic_Radius_Table!B:B))</f>
        <v/>
      </c>
      <c r="N44" s="0" t="str">
        <f aca="false">TRIM(LEFT(C44,FIND(",",C44)-1))</f>
        <v>Zr</v>
      </c>
      <c r="O44" s="3" t="n">
        <f aca="false">IF(N44="","",_xlfn.XLOOKUP(TRIM(N44),Metallic_Radius_Table!A:A,Metallic_Radius_Table!B:B))</f>
        <v>1.6</v>
      </c>
      <c r="P44" s="0" t="str">
        <f aca="false">TRIM(MID(C44,FIND(",",C44)+1,5))</f>
        <v>W</v>
      </c>
      <c r="Q44" s="0" t="n">
        <f aca="false">IF(P44="","",_xlfn.XLOOKUP(TRIM(P44),Metallic_Radius_Table!A:A,Metallic_Radius_Table!B:B))</f>
        <v>1.41</v>
      </c>
      <c r="R44" s="0" t="str">
        <f aca="false">IF(G44&gt;=1,   "Ferromagnetic / Ferrimagnetic",   IF(G44&gt;=0.05,      "Paramagnetic / Weakly magnetic",      "Antiferromagnetic / Diamagnetic"))</f>
        <v>Ferromagnetic / Ferrimagnetic</v>
      </c>
      <c r="U44" s="0" t="str">
        <f aca="false">IF(G44&gt;=1,
   "FM → PM (Curie-type)",
   IF(G44&lt;0.05,
      "AFM → PM (Néel-type)",
      "No long-range magnetic transition"))</f>
        <v>FM → PM (Curie-type)</v>
      </c>
    </row>
    <row r="45" customFormat="false" ht="13.8" hidden="false" customHeight="false" outlineLevel="0" collapsed="false">
      <c r="A45" s="0" t="s">
        <v>132</v>
      </c>
      <c r="B45" s="0" t="s">
        <v>133</v>
      </c>
      <c r="C45" s="0" t="s">
        <v>134</v>
      </c>
      <c r="D45" s="0" t="n">
        <v>-2.23342298566666</v>
      </c>
      <c r="E45" s="0" t="n">
        <v>0.170293997583339</v>
      </c>
      <c r="F45" s="0" t="n">
        <v>0.1824</v>
      </c>
      <c r="G45" s="0" t="n">
        <v>2.99999989999999</v>
      </c>
      <c r="H45" s="0" t="s">
        <v>111</v>
      </c>
      <c r="I45" s="2" t="b">
        <f aca="false">TRUE()</f>
        <v>1</v>
      </c>
      <c r="J45" s="0" t="str">
        <f aca="false">IF(AND(CODE(MID(B45,2,1))&gt;=97,CODE(MID(B45,2,1))&lt;=122),LEFT(B45,2),LEFT(B45,1))</f>
        <v>Ba</v>
      </c>
      <c r="K45" s="0" t="n">
        <f aca="false">IF(J45="","",_xlfn.XLOOKUP(TRIM(J45),Metallic_Radius_Table!A:A,Metallic_Radius_Table!B:B))</f>
        <v>2.17</v>
      </c>
      <c r="L45" s="0" t="str">
        <f aca="false">IF(ISNUMBER(SEARCH("La",B45)),"La",
 IF(ISNUMBER(SEARCH("Nd",B45)),"Nd",
 IF(ISNUMBER(SEARCH("Eu",B45)),"Eu",
 IF(ISNUMBER(SEARCH("Gd",B45)),"Gd",""))))</f>
        <v/>
      </c>
      <c r="M45" s="0" t="str">
        <f aca="false">IF(L45="","",_xlfn.XLOOKUP(TRIM(L45),Metallic_Radius_Table!A:A,Metallic_Radius_Table!B:B))</f>
        <v/>
      </c>
      <c r="N45" s="0" t="str">
        <f aca="false">TRIM(LEFT(C45,FIND(",",C45)-1))</f>
        <v>Cr</v>
      </c>
      <c r="O45" s="3" t="n">
        <f aca="false">IF(N45="","",_xlfn.XLOOKUP(TRIM(N45),Metallic_Radius_Table!A:A,Metallic_Radius_Table!B:B))</f>
        <v>1.28</v>
      </c>
      <c r="P45" s="0" t="str">
        <f aca="false">TRIM(MID(C45,FIND(",",C45)+1,5))</f>
        <v>W</v>
      </c>
      <c r="Q45" s="0" t="n">
        <f aca="false">IF(P45="","",_xlfn.XLOOKUP(TRIM(P45),Metallic_Radius_Table!A:A,Metallic_Radius_Table!B:B))</f>
        <v>1.41</v>
      </c>
      <c r="R45" s="0" t="str">
        <f aca="false">IF(G45&gt;=1,   "Ferromagnetic / Ferrimagnetic",   IF(G45&gt;=0.05,      "Paramagnetic / Weakly magnetic",      "Antiferromagnetic / Diamagnetic"))</f>
        <v>Ferromagnetic / Ferrimagnetic</v>
      </c>
      <c r="U45" s="0" t="str">
        <f aca="false">IF(G45&gt;=1,
   "FM → PM (Curie-type)",
   IF(G45&lt;0.05,
      "AFM → PM (Néel-type)",
      "No long-range magnetic transition"))</f>
        <v>FM → PM (Curie-type)</v>
      </c>
    </row>
    <row r="46" customFormat="false" ht="13.8" hidden="false" customHeight="false" outlineLevel="0" collapsed="false">
      <c r="A46" s="0" t="s">
        <v>135</v>
      </c>
      <c r="B46" s="0" t="s">
        <v>136</v>
      </c>
      <c r="C46" s="0" t="s">
        <v>114</v>
      </c>
      <c r="D46" s="0" t="n">
        <v>-3.4130699325</v>
      </c>
      <c r="E46" s="0" t="n">
        <v>0.052069121000002</v>
      </c>
      <c r="F46" s="0" t="n">
        <v>0</v>
      </c>
      <c r="G46" s="0" t="n">
        <v>6.8874179</v>
      </c>
      <c r="H46" s="0" t="s">
        <v>111</v>
      </c>
      <c r="I46" s="2" t="b">
        <f aca="false">TRUE()</f>
        <v>1</v>
      </c>
      <c r="J46" s="0" t="str">
        <f aca="false">IF(AND(CODE(MID(B46,2,1))&gt;=97,CODE(MID(B46,2,1))&lt;=122),LEFT(B46,2),LEFT(B46,1))</f>
        <v>Ba</v>
      </c>
      <c r="K46" s="0" t="n">
        <f aca="false">IF(J46="","",_xlfn.XLOOKUP(TRIM(J46),Metallic_Radius_Table!A:A,Metallic_Radius_Table!B:B))</f>
        <v>2.17</v>
      </c>
      <c r="L46" s="0" t="str">
        <f aca="false">IF(ISNUMBER(SEARCH("La",B46)),"La",
 IF(ISNUMBER(SEARCH("Nd",B46)),"Nd",
 IF(ISNUMBER(SEARCH("Eu",B46)),"Eu",
 IF(ISNUMBER(SEARCH("Gd",B46)),"Gd",""))))</f>
        <v>Eu</v>
      </c>
      <c r="M46" s="0" t="n">
        <f aca="false">IF(L46="","",_xlfn.XLOOKUP(TRIM(L46),Metallic_Radius_Table!A:A,Metallic_Radius_Table!B:B))</f>
        <v>1.99</v>
      </c>
      <c r="N46" s="0" t="str">
        <f aca="false">TRIM(LEFT(C46,FIND(",",C46)-1))</f>
        <v>Nb</v>
      </c>
      <c r="O46" s="3" t="n">
        <f aca="false">IF(N46="","",_xlfn.XLOOKUP(TRIM(N46),Metallic_Radius_Table!A:A,Metallic_Radius_Table!B:B))</f>
        <v>1.46</v>
      </c>
      <c r="P46" s="0" t="str">
        <f aca="false">TRIM(MID(C46,FIND(",",C46)+1,5))</f>
        <v>Hf</v>
      </c>
      <c r="Q46" s="0" t="n">
        <f aca="false">IF(P46="","",_xlfn.XLOOKUP(TRIM(P46),Metallic_Radius_Table!A:A,Metallic_Radius_Table!B:B))</f>
        <v>1.59</v>
      </c>
      <c r="R46" s="0" t="str">
        <f aca="false">IF(G46&gt;=1,   "Ferromagnetic / Ferrimagnetic",   IF(G46&gt;=0.05,      "Paramagnetic / Weakly magnetic",      "Antiferromagnetic / Diamagnetic"))</f>
        <v>Ferromagnetic / Ferrimagnetic</v>
      </c>
      <c r="U46" s="0" t="str">
        <f aca="false">IF(G46&gt;=1,
   "FM → PM (Curie-type)",
   IF(G46&lt;0.05,
      "AFM → PM (Néel-type)",
      "No long-range magnetic transition"))</f>
        <v>FM → PM (Curie-type)</v>
      </c>
    </row>
    <row r="47" customFormat="false" ht="13.8" hidden="false" customHeight="false" outlineLevel="0" collapsed="false">
      <c r="A47" s="0" t="s">
        <v>137</v>
      </c>
      <c r="B47" s="0" t="s">
        <v>138</v>
      </c>
      <c r="C47" s="0" t="s">
        <v>120</v>
      </c>
      <c r="D47" s="0" t="n">
        <v>-3.6694066805</v>
      </c>
      <c r="E47" s="0" t="n">
        <v>0.04404608825</v>
      </c>
      <c r="F47" s="0" t="n">
        <v>0.426599999999999</v>
      </c>
      <c r="G47" s="0" t="n">
        <v>7.0000002</v>
      </c>
      <c r="H47" s="0" t="s">
        <v>111</v>
      </c>
      <c r="I47" s="2" t="b">
        <f aca="false">TRUE()</f>
        <v>1</v>
      </c>
      <c r="J47" s="0" t="str">
        <f aca="false">IF(AND(CODE(MID(B47,2,1))&gt;=97,CODE(MID(B47,2,1))&lt;=122),LEFT(B47,2),LEFT(B47,1))</f>
        <v>Ba</v>
      </c>
      <c r="K47" s="0" t="n">
        <f aca="false">IF(J47="","",_xlfn.XLOOKUP(TRIM(J47),Metallic_Radius_Table!A:A,Metallic_Radius_Table!B:B))</f>
        <v>2.17</v>
      </c>
      <c r="L47" s="0" t="str">
        <f aca="false">IF(ISNUMBER(SEARCH("La",B47)),"La",
 IF(ISNUMBER(SEARCH("Nd",B47)),"Nd",
 IF(ISNUMBER(SEARCH("Eu",B47)),"Eu",
 IF(ISNUMBER(SEARCH("Gd",B47)),"Gd",""))))</f>
        <v>Eu</v>
      </c>
      <c r="M47" s="0" t="n">
        <f aca="false">IF(L47="","",_xlfn.XLOOKUP(TRIM(L47),Metallic_Radius_Table!A:A,Metallic_Radius_Table!B:B))</f>
        <v>1.99</v>
      </c>
      <c r="N47" s="0" t="str">
        <f aca="false">TRIM(LEFT(C47,FIND(",",C47)-1))</f>
        <v>Zr</v>
      </c>
      <c r="O47" s="3" t="n">
        <f aca="false">IF(N47="","",_xlfn.XLOOKUP(TRIM(N47),Metallic_Radius_Table!A:A,Metallic_Radius_Table!B:B))</f>
        <v>1.6</v>
      </c>
      <c r="P47" s="0" t="str">
        <f aca="false">TRIM(MID(C47,FIND(",",C47)+1,5))</f>
        <v>Hf</v>
      </c>
      <c r="Q47" s="0" t="n">
        <f aca="false">IF(P47="","",_xlfn.XLOOKUP(TRIM(P47),Metallic_Radius_Table!A:A,Metallic_Radius_Table!B:B))</f>
        <v>1.59</v>
      </c>
      <c r="R47" s="0" t="str">
        <f aca="false">IF(G47&gt;=1,   "Ferromagnetic / Ferrimagnetic",   IF(G47&gt;=0.05,      "Paramagnetic / Weakly magnetic",      "Antiferromagnetic / Diamagnetic"))</f>
        <v>Ferromagnetic / Ferrimagnetic</v>
      </c>
      <c r="U47" s="0" t="str">
        <f aca="false">IF(G47&gt;=1,
   "FM → PM (Curie-type)",
   IF(G47&lt;0.05,
      "AFM → PM (Néel-type)",
      "No long-range magnetic transition"))</f>
        <v>FM → PM (Curie-type)</v>
      </c>
    </row>
    <row r="48" customFormat="false" ht="13.8" hidden="false" customHeight="false" outlineLevel="0" collapsed="false">
      <c r="A48" s="0" t="s">
        <v>139</v>
      </c>
      <c r="B48" s="0" t="s">
        <v>140</v>
      </c>
      <c r="C48" s="0" t="s">
        <v>128</v>
      </c>
      <c r="D48" s="0" t="n">
        <v>-3.3493691235</v>
      </c>
      <c r="E48" s="0" t="n">
        <v>0.06010360025</v>
      </c>
      <c r="F48" s="0" t="n">
        <v>0</v>
      </c>
      <c r="G48" s="0" t="n">
        <v>6.6693043</v>
      </c>
      <c r="H48" s="0" t="s">
        <v>111</v>
      </c>
      <c r="I48" s="2" t="b">
        <f aca="false">TRUE()</f>
        <v>1</v>
      </c>
      <c r="J48" s="0" t="str">
        <f aca="false">IF(AND(CODE(MID(B48,2,1))&gt;=97,CODE(MID(B48,2,1))&lt;=122),LEFT(B48,2),LEFT(B48,1))</f>
        <v>Ba</v>
      </c>
      <c r="K48" s="0" t="n">
        <f aca="false">IF(J48="","",_xlfn.XLOOKUP(TRIM(J48),Metallic_Radius_Table!A:A,Metallic_Radius_Table!B:B))</f>
        <v>2.17</v>
      </c>
      <c r="L48" s="0" t="str">
        <f aca="false">IF(ISNUMBER(SEARCH("La",B48)),"La",
 IF(ISNUMBER(SEARCH("Nd",B48)),"Nd",
 IF(ISNUMBER(SEARCH("Eu",B48)),"Eu",
 IF(ISNUMBER(SEARCH("Gd",B48)),"Gd",""))))</f>
        <v>Eu</v>
      </c>
      <c r="M48" s="0" t="n">
        <f aca="false">IF(L48="","",_xlfn.XLOOKUP(TRIM(L48),Metallic_Radius_Table!A:A,Metallic_Radius_Table!B:B))</f>
        <v>1.99</v>
      </c>
      <c r="N48" s="0" t="str">
        <f aca="false">TRIM(LEFT(C48,FIND(",",C48)-1))</f>
        <v>Zr</v>
      </c>
      <c r="O48" s="3" t="n">
        <f aca="false">IF(N48="","",_xlfn.XLOOKUP(TRIM(N48),Metallic_Radius_Table!A:A,Metallic_Radius_Table!B:B))</f>
        <v>1.6</v>
      </c>
      <c r="P48" s="0" t="str">
        <f aca="false">TRIM(MID(C48,FIND(",",C48)+1,5))</f>
        <v>Nb</v>
      </c>
      <c r="Q48" s="0" t="n">
        <f aca="false">IF(P48="","",_xlfn.XLOOKUP(TRIM(P48),Metallic_Radius_Table!A:A,Metallic_Radius_Table!B:B))</f>
        <v>1.46</v>
      </c>
      <c r="R48" s="0" t="str">
        <f aca="false">IF(G48&gt;=1,   "Ferromagnetic / Ferrimagnetic",   IF(G48&gt;=0.05,      "Paramagnetic / Weakly magnetic",      "Antiferromagnetic / Diamagnetic"))</f>
        <v>Ferromagnetic / Ferrimagnetic</v>
      </c>
      <c r="U48" s="0" t="str">
        <f aca="false">IF(G48&gt;=1,
   "FM → PM (Curie-type)",
   IF(G48&lt;0.05,
      "AFM → PM (Néel-type)",
      "No long-range magnetic transition"))</f>
        <v>FM → PM (Curie-type)</v>
      </c>
    </row>
    <row r="49" customFormat="false" ht="13.8" hidden="false" customHeight="false" outlineLevel="0" collapsed="false">
      <c r="A49" s="0" t="s">
        <v>141</v>
      </c>
      <c r="B49" s="0" t="s">
        <v>142</v>
      </c>
      <c r="C49" s="0" t="s">
        <v>143</v>
      </c>
      <c r="D49" s="0" t="n">
        <v>-5.153567591</v>
      </c>
      <c r="E49" s="0" t="n">
        <v>0</v>
      </c>
      <c r="F49" s="0" t="n">
        <v>0</v>
      </c>
      <c r="G49" s="0" t="n">
        <v>9.6463861</v>
      </c>
      <c r="H49" s="0" t="s">
        <v>111</v>
      </c>
      <c r="I49" s="2" t="b">
        <f aca="false">TRUE()</f>
        <v>1</v>
      </c>
      <c r="J49" s="0" t="str">
        <f aca="false">IF(AND(CODE(MID(B49,2,1))&gt;=97,CODE(MID(B49,2,1))&lt;=122),LEFT(B49,2),LEFT(B49,1))</f>
        <v>Ba</v>
      </c>
      <c r="K49" s="0" t="n">
        <f aca="false">IF(J49="","",_xlfn.XLOOKUP(TRIM(J49),Metallic_Radius_Table!A:A,Metallic_Radius_Table!B:B))</f>
        <v>2.17</v>
      </c>
      <c r="L49" s="0" t="str">
        <f aca="false">IF(ISNUMBER(SEARCH("La",B49)),"La",
 IF(ISNUMBER(SEARCH("Nd",B49)),"Nd",
 IF(ISNUMBER(SEARCH("Eu",B49)),"Eu",
 IF(ISNUMBER(SEARCH("Gd",B49)),"Gd",""))))</f>
        <v>Gd</v>
      </c>
      <c r="M49" s="0" t="n">
        <f aca="false">IF(L49="","",_xlfn.XLOOKUP(TRIM(L49),Metallic_Radius_Table!A:A,Metallic_Radius_Table!B:B))</f>
        <v>1.8</v>
      </c>
      <c r="N49" s="0" t="str">
        <f aca="false">TRIM(LEFT(C49,FIND(",",C49)-1))</f>
        <v>Cr</v>
      </c>
      <c r="O49" s="3" t="n">
        <f aca="false">IF(N49="","",_xlfn.XLOOKUP(TRIM(N49),Metallic_Radius_Table!A:A,Metallic_Radius_Table!B:B))</f>
        <v>1.28</v>
      </c>
      <c r="P49" s="0" t="str">
        <f aca="false">TRIM(MID(C49,FIND(",",C49)+1,5))</f>
        <v>Fe</v>
      </c>
      <c r="Q49" s="0" t="n">
        <f aca="false">IF(P49="","",_xlfn.XLOOKUP(TRIM(P49),Metallic_Radius_Table!A:A,Metallic_Radius_Table!B:B))</f>
        <v>1.26</v>
      </c>
      <c r="R49" s="0" t="str">
        <f aca="false">IF(G49&gt;=1,   "Ferromagnetic / Ferrimagnetic",   IF(G49&gt;=0.05,      "Paramagnetic / Weakly magnetic",      "Antiferromagnetic / Diamagnetic"))</f>
        <v>Ferromagnetic / Ferrimagnetic</v>
      </c>
      <c r="U49" s="0" t="str">
        <f aca="false">IF(G49&gt;=1,
   "FM → PM (Curie-type)",
   IF(G49&lt;0.05,
      "AFM → PM (Néel-type)",
      "No long-range magnetic transition"))</f>
        <v>FM → PM (Curie-type)</v>
      </c>
    </row>
    <row r="50" customFormat="false" ht="13.8" hidden="false" customHeight="false" outlineLevel="0" collapsed="false">
      <c r="A50" s="0" t="s">
        <v>144</v>
      </c>
      <c r="B50" s="0" t="s">
        <v>145</v>
      </c>
      <c r="C50" s="0" t="s">
        <v>114</v>
      </c>
      <c r="D50" s="0" t="n">
        <v>-3.06633499966666</v>
      </c>
      <c r="E50" s="0" t="n">
        <v>0.096817413222229</v>
      </c>
      <c r="F50" s="0" t="n">
        <v>0.622799999999999</v>
      </c>
      <c r="G50" s="0" t="n">
        <v>0</v>
      </c>
      <c r="H50" s="0" t="s">
        <v>111</v>
      </c>
      <c r="I50" s="2" t="b">
        <f aca="false">TRUE()</f>
        <v>1</v>
      </c>
      <c r="J50" s="0" t="str">
        <f aca="false">IF(AND(CODE(MID(B50,2,1))&gt;=97,CODE(MID(B50,2,1))&lt;=122),LEFT(B50,2),LEFT(B50,1))</f>
        <v>Ba</v>
      </c>
      <c r="K50" s="0" t="n">
        <f aca="false">IF(J50="","",_xlfn.XLOOKUP(TRIM(J50),Metallic_Radius_Table!A:A,Metallic_Radius_Table!B:B))</f>
        <v>2.17</v>
      </c>
      <c r="L50" s="0" t="str">
        <f aca="false">IF(ISNUMBER(SEARCH("La",B50)),"La",
 IF(ISNUMBER(SEARCH("Nd",B50)),"Nd",
 IF(ISNUMBER(SEARCH("Eu",B50)),"Eu",
 IF(ISNUMBER(SEARCH("Gd",B50)),"Gd",""))))</f>
        <v/>
      </c>
      <c r="M50" s="0" t="str">
        <f aca="false">IF(L50="","",_xlfn.XLOOKUP(TRIM(L50),Metallic_Radius_Table!A:A,Metallic_Radius_Table!B:B))</f>
        <v/>
      </c>
      <c r="N50" s="0" t="str">
        <f aca="false">TRIM(LEFT(C50,FIND(",",C50)-1))</f>
        <v>Nb</v>
      </c>
      <c r="O50" s="3" t="n">
        <f aca="false">IF(N50="","",_xlfn.XLOOKUP(TRIM(N50),Metallic_Radius_Table!A:A,Metallic_Radius_Table!B:B))</f>
        <v>1.46</v>
      </c>
      <c r="P50" s="0" t="str">
        <f aca="false">TRIM(MID(C50,FIND(",",C50)+1,5))</f>
        <v>Hf</v>
      </c>
      <c r="Q50" s="0" t="n">
        <f aca="false">IF(P50="","",_xlfn.XLOOKUP(TRIM(P50),Metallic_Radius_Table!A:A,Metallic_Radius_Table!B:B))</f>
        <v>1.59</v>
      </c>
      <c r="R50" s="0" t="str">
        <f aca="false">IF(G50&gt;=1,   "Ferromagnetic / Ferrimagnetic",   IF(G50&gt;=0.05,      "Paramagnetic / Weakly magnetic",      "Antiferromagnetic / Diamagnetic"))</f>
        <v>Antiferromagnetic / Diamagnetic</v>
      </c>
      <c r="U50" s="0" t="str">
        <f aca="false">IF(G50&gt;=1,
   "FM → PM (Curie-type)",
   IF(G50&lt;0.05,
      "AFM → PM (Néel-type)",
      "No long-range magnetic transition"))</f>
        <v>AFM → PM (Néel-type)</v>
      </c>
    </row>
    <row r="51" customFormat="false" ht="13.8" hidden="false" customHeight="false" outlineLevel="0" collapsed="false">
      <c r="A51" s="0" t="s">
        <v>146</v>
      </c>
      <c r="B51" s="0" t="s">
        <v>147</v>
      </c>
      <c r="C51" s="0" t="s">
        <v>148</v>
      </c>
      <c r="D51" s="0" t="n">
        <v>-3.104368333</v>
      </c>
      <c r="E51" s="0" t="n">
        <v>0.190470733819445</v>
      </c>
      <c r="F51" s="0" t="n">
        <v>0</v>
      </c>
      <c r="G51" s="4" t="n">
        <v>8E-007</v>
      </c>
      <c r="H51" s="0" t="s">
        <v>111</v>
      </c>
      <c r="I51" s="2" t="b">
        <f aca="false">TRUE()</f>
        <v>1</v>
      </c>
      <c r="J51" s="0" t="str">
        <f aca="false">IF(AND(CODE(MID(B51,2,1))&gt;=97,CODE(MID(B51,2,1))&lt;=122),LEFT(B51,2),LEFT(B51,1))</f>
        <v>Ba</v>
      </c>
      <c r="K51" s="0" t="n">
        <f aca="false">IF(J51="","",_xlfn.XLOOKUP(TRIM(J51),Metallic_Radius_Table!A:A,Metallic_Radius_Table!B:B))</f>
        <v>2.17</v>
      </c>
      <c r="L51" s="0" t="str">
        <f aca="false">IF(ISNUMBER(SEARCH("La",B51)),"La",
 IF(ISNUMBER(SEARCH("Nd",B51)),"Nd",
 IF(ISNUMBER(SEARCH("Eu",B51)),"Eu",
 IF(ISNUMBER(SEARCH("Gd",B51)),"Gd",""))))</f>
        <v/>
      </c>
      <c r="M51" s="0" t="str">
        <f aca="false">IF(L51="","",_xlfn.XLOOKUP(TRIM(L51),Metallic_Radius_Table!A:A,Metallic_Radius_Table!B:B))</f>
        <v/>
      </c>
      <c r="N51" s="0" t="str">
        <f aca="false">TRIM(LEFT(C51,FIND(",",C51)-1))</f>
        <v>Hf</v>
      </c>
      <c r="O51" s="3" t="n">
        <f aca="false">IF(N51="","",_xlfn.XLOOKUP(TRIM(N51),Metallic_Radius_Table!A:A,Metallic_Radius_Table!B:B))</f>
        <v>1.59</v>
      </c>
      <c r="P51" s="0" t="str">
        <f aca="false">TRIM(MID(C51,FIND(",",C51)+1,5))</f>
        <v>Ti</v>
      </c>
      <c r="Q51" s="0" t="n">
        <f aca="false">IF(P51="","",_xlfn.XLOOKUP(TRIM(P51),Metallic_Radius_Table!A:A,Metallic_Radius_Table!B:B))</f>
        <v>1.47</v>
      </c>
      <c r="R51" s="0" t="str">
        <f aca="false">IF(G51&gt;=1,   "Ferromagnetic / Ferrimagnetic",   IF(G51&gt;=0.05,      "Paramagnetic / Weakly magnetic",      "Antiferromagnetic / Diamagnetic"))</f>
        <v>Antiferromagnetic / Diamagnetic</v>
      </c>
      <c r="U51" s="0" t="str">
        <f aca="false">IF(G51&gt;=1,
   "FM → PM (Curie-type)",
   IF(G51&lt;0.05,
      "AFM → PM (Néel-type)",
      "No long-range magnetic transition"))</f>
        <v>AFM → PM (Néel-type)</v>
      </c>
    </row>
    <row r="52" customFormat="false" ht="13.8" hidden="false" customHeight="false" outlineLevel="0" collapsed="false">
      <c r="A52" s="0" t="s">
        <v>149</v>
      </c>
      <c r="B52" s="0" t="s">
        <v>150</v>
      </c>
      <c r="C52" s="0" t="s">
        <v>53</v>
      </c>
      <c r="D52" s="0" t="n">
        <v>-2.08932370766666</v>
      </c>
      <c r="E52" s="0" t="n">
        <v>0.1948221645</v>
      </c>
      <c r="F52" s="0" t="n">
        <v>0</v>
      </c>
      <c r="G52" s="0" t="n">
        <v>4.9754546</v>
      </c>
      <c r="H52" s="0" t="s">
        <v>111</v>
      </c>
      <c r="I52" s="2" t="b">
        <f aca="false">TRUE()</f>
        <v>1</v>
      </c>
      <c r="J52" s="0" t="str">
        <f aca="false">IF(AND(CODE(MID(B52,2,1))&gt;=97,CODE(MID(B52,2,1))&lt;=122),LEFT(B52,2),LEFT(B52,1))</f>
        <v>Ba</v>
      </c>
      <c r="K52" s="0" t="n">
        <f aca="false">IF(J52="","",_xlfn.XLOOKUP(TRIM(J52),Metallic_Radius_Table!A:A,Metallic_Radius_Table!B:B))</f>
        <v>2.17</v>
      </c>
      <c r="L52" s="0" t="str">
        <f aca="false">IF(ISNUMBER(SEARCH("La",B52)),"La",
 IF(ISNUMBER(SEARCH("Nd",B52)),"Nd",
 IF(ISNUMBER(SEARCH("Eu",B52)),"Eu",
 IF(ISNUMBER(SEARCH("Gd",B52)),"Gd",""))))</f>
        <v/>
      </c>
      <c r="M52" s="0" t="str">
        <f aca="false">IF(L52="","",_xlfn.XLOOKUP(TRIM(L52),Metallic_Radius_Table!A:A,Metallic_Radius_Table!B:B))</f>
        <v/>
      </c>
      <c r="N52" s="0" t="str">
        <f aca="false">TRIM(LEFT(C52,FIND(",",C52)-1))</f>
        <v>Fe</v>
      </c>
      <c r="O52" s="3" t="n">
        <f aca="false">IF(N52="","",_xlfn.XLOOKUP(TRIM(N52),Metallic_Radius_Table!A:A,Metallic_Radius_Table!B:B))</f>
        <v>1.26</v>
      </c>
      <c r="P52" s="0" t="str">
        <f aca="false">TRIM(MID(C52,FIND(",",C52)+1,5))</f>
        <v>W</v>
      </c>
      <c r="Q52" s="0" t="n">
        <f aca="false">IF(P52="","",_xlfn.XLOOKUP(TRIM(P52),Metallic_Radius_Table!A:A,Metallic_Radius_Table!B:B))</f>
        <v>1.41</v>
      </c>
      <c r="R52" s="0" t="str">
        <f aca="false">IF(G52&gt;=1,   "Ferromagnetic / Ferrimagnetic",   IF(G52&gt;=0.05,      "Paramagnetic / Weakly magnetic",      "Antiferromagnetic / Diamagnetic"))</f>
        <v>Ferromagnetic / Ferrimagnetic</v>
      </c>
      <c r="U52" s="0" t="str">
        <f aca="false">IF(G52&gt;=1,
   "FM → PM (Curie-type)",
   IF(G52&lt;0.05,
      "AFM → PM (Néel-type)",
      "No long-range magnetic transition"))</f>
        <v>FM → PM (Curie-type)</v>
      </c>
    </row>
    <row r="53" customFormat="false" ht="13.8" hidden="false" customHeight="false" outlineLevel="0" collapsed="false">
      <c r="A53" s="0" t="s">
        <v>151</v>
      </c>
      <c r="B53" s="0" t="s">
        <v>152</v>
      </c>
      <c r="C53" s="0" t="s">
        <v>153</v>
      </c>
      <c r="D53" s="0" t="n">
        <v>-2.2561880905</v>
      </c>
      <c r="E53" s="0" t="n">
        <v>0.077274600458354</v>
      </c>
      <c r="F53" s="0" t="n">
        <v>0</v>
      </c>
      <c r="G53" s="0" t="n">
        <v>4.9919466</v>
      </c>
      <c r="H53" s="0" t="s">
        <v>58</v>
      </c>
      <c r="I53" s="2" t="b">
        <f aca="false">TRUE()</f>
        <v>1</v>
      </c>
      <c r="J53" s="0" t="str">
        <f aca="false">IF(AND(CODE(MID(B53,2,1))&gt;=97,CODE(MID(B53,2,1))&lt;=122),LEFT(B53,2),LEFT(B53,1))</f>
        <v>Ba</v>
      </c>
      <c r="K53" s="0" t="n">
        <f aca="false">IF(J53="","",_xlfn.XLOOKUP(TRIM(J53),Metallic_Radius_Table!A:A,Metallic_Radius_Table!B:B))</f>
        <v>2.17</v>
      </c>
      <c r="L53" s="0" t="str">
        <f aca="false">IF(ISNUMBER(SEARCH("La",B53)),"La",
 IF(ISNUMBER(SEARCH("Nd",B53)),"Nd",
 IF(ISNUMBER(SEARCH("Eu",B53)),"Eu",
 IF(ISNUMBER(SEARCH("Gd",B53)),"Gd",""))))</f>
        <v>La</v>
      </c>
      <c r="M53" s="0" t="n">
        <f aca="false">IF(L53="","",_xlfn.XLOOKUP(TRIM(L53),Metallic_Radius_Table!A:A,Metallic_Radius_Table!B:B))</f>
        <v>1.87</v>
      </c>
      <c r="N53" s="0" t="str">
        <f aca="false">TRIM(LEFT(C53,FIND(",",C53)-1))</f>
        <v>Ir</v>
      </c>
      <c r="O53" s="3" t="n">
        <f aca="false">IF(N53="","",_xlfn.XLOOKUP(TRIM(N53),Metallic_Radius_Table!A:A,Metallic_Radius_Table!B:B))</f>
        <v>1.36</v>
      </c>
      <c r="P53" s="0" t="str">
        <f aca="false">TRIM(MID(C53,FIND(",",C53)+1,5))</f>
        <v>Co</v>
      </c>
      <c r="Q53" s="0" t="n">
        <f aca="false">IF(P53="","",_xlfn.XLOOKUP(TRIM(P53),Metallic_Radius_Table!A:A,Metallic_Radius_Table!B:B))</f>
        <v>1.25</v>
      </c>
      <c r="R53" s="0" t="str">
        <f aca="false">IF(G53&gt;=1,   "Ferromagnetic / Ferrimagnetic",   IF(G53&gt;=0.05,      "Paramagnetic / Weakly magnetic",      "Antiferromagnetic / Diamagnetic"))</f>
        <v>Ferromagnetic / Ferrimagnetic</v>
      </c>
      <c r="U53" s="0" t="str">
        <f aca="false">IF(G53&gt;=1,
   "FM → PM (Curie-type)",
   IF(G53&lt;0.05,
      "AFM → PM (Néel-type)",
      "No long-range magnetic transition"))</f>
        <v>FM → PM (Curie-type)</v>
      </c>
    </row>
    <row r="54" customFormat="false" ht="13.8" hidden="false" customHeight="false" outlineLevel="0" collapsed="false">
      <c r="A54" s="0" t="s">
        <v>154</v>
      </c>
      <c r="B54" s="0" t="s">
        <v>155</v>
      </c>
      <c r="C54" s="0" t="s">
        <v>39</v>
      </c>
      <c r="D54" s="0" t="n">
        <v>-2.7249114925</v>
      </c>
      <c r="E54" s="0" t="n">
        <v>0.136250090285706</v>
      </c>
      <c r="F54" s="0" t="n">
        <v>0</v>
      </c>
      <c r="G54" s="0" t="n">
        <v>4.995957</v>
      </c>
      <c r="H54" s="0" t="s">
        <v>111</v>
      </c>
      <c r="I54" s="2" t="b">
        <f aca="false">TRUE()</f>
        <v>1</v>
      </c>
      <c r="J54" s="0" t="str">
        <f aca="false">IF(AND(CODE(MID(B54,2,1))&gt;=97,CODE(MID(B54,2,1))&lt;=122),LEFT(B54,2),LEFT(B54,1))</f>
        <v>Ba</v>
      </c>
      <c r="K54" s="0" t="n">
        <f aca="false">IF(J54="","",_xlfn.XLOOKUP(TRIM(J54),Metallic_Radius_Table!A:A,Metallic_Radius_Table!B:B))</f>
        <v>2.17</v>
      </c>
      <c r="L54" s="0" t="str">
        <f aca="false">IF(ISNUMBER(SEARCH("La",B54)),"La",
 IF(ISNUMBER(SEARCH("Nd",B54)),"Nd",
 IF(ISNUMBER(SEARCH("Eu",B54)),"Eu",
 IF(ISNUMBER(SEARCH("Gd",B54)),"Gd",""))))</f>
        <v>La</v>
      </c>
      <c r="M54" s="0" t="n">
        <f aca="false">IF(L54="","",_xlfn.XLOOKUP(TRIM(L54),Metallic_Radius_Table!A:A,Metallic_Radius_Table!B:B))</f>
        <v>1.87</v>
      </c>
      <c r="N54" s="0" t="str">
        <f aca="false">TRIM(LEFT(C54,FIND(",",C54)-1))</f>
        <v>Cr</v>
      </c>
      <c r="O54" s="3" t="n">
        <f aca="false">IF(N54="","",_xlfn.XLOOKUP(TRIM(N54),Metallic_Radius_Table!A:A,Metallic_Radius_Table!B:B))</f>
        <v>1.28</v>
      </c>
      <c r="P54" s="0" t="str">
        <f aca="false">TRIM(MID(C54,FIND(",",C54)+1,5))</f>
        <v>Mo</v>
      </c>
      <c r="Q54" s="0" t="n">
        <f aca="false">IF(P54="","",_xlfn.XLOOKUP(TRIM(P54),Metallic_Radius_Table!A:A,Metallic_Radius_Table!B:B))</f>
        <v>1.39</v>
      </c>
      <c r="R54" s="0" t="str">
        <f aca="false">IF(G54&gt;=1,   "Ferromagnetic / Ferrimagnetic",   IF(G54&gt;=0.05,      "Paramagnetic / Weakly magnetic",      "Antiferromagnetic / Diamagnetic"))</f>
        <v>Ferromagnetic / Ferrimagnetic</v>
      </c>
      <c r="U54" s="0" t="str">
        <f aca="false">IF(G54&gt;=1,
   "FM → PM (Curie-type)",
   IF(G54&lt;0.05,
      "AFM → PM (Néel-type)",
      "No long-range magnetic transition"))</f>
        <v>FM → PM (Curie-type)</v>
      </c>
    </row>
    <row r="55" customFormat="false" ht="13.8" hidden="false" customHeight="false" outlineLevel="0" collapsed="false">
      <c r="A55" s="0" t="s">
        <v>156</v>
      </c>
      <c r="B55" s="0" t="s">
        <v>157</v>
      </c>
      <c r="C55" s="0" t="s">
        <v>61</v>
      </c>
      <c r="D55" s="0" t="n">
        <v>-2.6442282702931</v>
      </c>
      <c r="E55" s="0" t="n">
        <v>0.193645975828825</v>
      </c>
      <c r="F55" s="0" t="n">
        <v>0.382399999999999</v>
      </c>
      <c r="G55" s="0" t="n">
        <v>6.0003792</v>
      </c>
      <c r="H55" s="0" t="s">
        <v>111</v>
      </c>
      <c r="I55" s="2" t="b">
        <f aca="false">TRUE()</f>
        <v>1</v>
      </c>
      <c r="J55" s="0" t="str">
        <f aca="false">IF(AND(CODE(MID(B55,2,1))&gt;=97,CODE(MID(B55,2,1))&lt;=122),LEFT(B55,2),LEFT(B55,1))</f>
        <v>Ba</v>
      </c>
      <c r="K55" s="0" t="n">
        <f aca="false">IF(J55="","",_xlfn.XLOOKUP(TRIM(J55),Metallic_Radius_Table!A:A,Metallic_Radius_Table!B:B))</f>
        <v>2.17</v>
      </c>
      <c r="L55" s="0" t="str">
        <f aca="false">IF(ISNUMBER(SEARCH("La",B55)),"La",
 IF(ISNUMBER(SEARCH("Nd",B55)),"Nd",
 IF(ISNUMBER(SEARCH("Eu",B55)),"Eu",
 IF(ISNUMBER(SEARCH("Gd",B55)),"Gd",""))))</f>
        <v>La</v>
      </c>
      <c r="M55" s="0" t="n">
        <f aca="false">IF(L55="","",_xlfn.XLOOKUP(TRIM(L55),Metallic_Radius_Table!A:A,Metallic_Radius_Table!B:B))</f>
        <v>1.87</v>
      </c>
      <c r="N55" s="0" t="str">
        <f aca="false">TRIM(LEFT(C55,FIND(",",C55)-1))</f>
        <v>Mn</v>
      </c>
      <c r="O55" s="3" t="n">
        <f aca="false">IF(N55="","",_xlfn.XLOOKUP(TRIM(N55),Metallic_Radius_Table!A:A,Metallic_Radius_Table!B:B))</f>
        <v>1.27</v>
      </c>
      <c r="P55" s="0" t="str">
        <f aca="false">TRIM(MID(C55,FIND(",",C55)+1,5))</f>
        <v>Mo</v>
      </c>
      <c r="Q55" s="0" t="n">
        <f aca="false">IF(P55="","",_xlfn.XLOOKUP(TRIM(P55),Metallic_Radius_Table!A:A,Metallic_Radius_Table!B:B))</f>
        <v>1.39</v>
      </c>
      <c r="R55" s="0" t="str">
        <f aca="false">IF(G55&gt;=1,   "Ferromagnetic / Ferrimagnetic",   IF(G55&gt;=0.05,      "Paramagnetic / Weakly magnetic",      "Antiferromagnetic / Diamagnetic"))</f>
        <v>Ferromagnetic / Ferrimagnetic</v>
      </c>
      <c r="U55" s="0" t="str">
        <f aca="false">IF(G55&gt;=1,
   "FM → PM (Curie-type)",
   IF(G55&lt;0.05,
      "AFM → PM (Néel-type)",
      "No long-range magnetic transition"))</f>
        <v>FM → PM (Curie-type)</v>
      </c>
    </row>
    <row r="56" customFormat="false" ht="13.8" hidden="false" customHeight="false" outlineLevel="0" collapsed="false">
      <c r="A56" s="0" t="s">
        <v>158</v>
      </c>
      <c r="B56" s="0" t="s">
        <v>159</v>
      </c>
      <c r="C56" s="0" t="s">
        <v>76</v>
      </c>
      <c r="D56" s="0" t="n">
        <v>-2.4999615022931</v>
      </c>
      <c r="E56" s="0" t="n">
        <v>0.190924160466654</v>
      </c>
      <c r="F56" s="0" t="n">
        <v>0</v>
      </c>
      <c r="G56" s="0" t="n">
        <v>2</v>
      </c>
      <c r="H56" s="0" t="s">
        <v>111</v>
      </c>
      <c r="I56" s="2" t="b">
        <f aca="false">TRUE()</f>
        <v>1</v>
      </c>
      <c r="J56" s="0" t="str">
        <f aca="false">IF(AND(CODE(MID(B56,2,1))&gt;=97,CODE(MID(B56,2,1))&lt;=122),LEFT(B56,2),LEFT(B56,1))</f>
        <v>Ba</v>
      </c>
      <c r="K56" s="0" t="n">
        <f aca="false">IF(J56="","",_xlfn.XLOOKUP(TRIM(J56),Metallic_Radius_Table!A:A,Metallic_Radius_Table!B:B))</f>
        <v>2.17</v>
      </c>
      <c r="L56" s="0" t="str">
        <f aca="false">IF(ISNUMBER(SEARCH("La",B56)),"La",
 IF(ISNUMBER(SEARCH("Nd",B56)),"Nd",
 IF(ISNUMBER(SEARCH("Eu",B56)),"Eu",
 IF(ISNUMBER(SEARCH("Gd",B56)),"Gd",""))))</f>
        <v>La</v>
      </c>
      <c r="M56" s="0" t="n">
        <f aca="false">IF(L56="","",_xlfn.XLOOKUP(TRIM(L56),Metallic_Radius_Table!A:A,Metallic_Radius_Table!B:B))</f>
        <v>1.87</v>
      </c>
      <c r="N56" s="0" t="str">
        <f aca="false">TRIM(LEFT(C56,FIND(",",C56)-1))</f>
        <v>Mn</v>
      </c>
      <c r="O56" s="3" t="n">
        <f aca="false">IF(N56="","",_xlfn.XLOOKUP(TRIM(N56),Metallic_Radius_Table!A:A,Metallic_Radius_Table!B:B))</f>
        <v>1.27</v>
      </c>
      <c r="P56" s="0" t="str">
        <f aca="false">TRIM(MID(C56,FIND(",",C56)+1,5))</f>
        <v>Ru</v>
      </c>
      <c r="Q56" s="0" t="n">
        <f aca="false">IF(P56="","",_xlfn.XLOOKUP(TRIM(P56),Metallic_Radius_Table!A:A,Metallic_Radius_Table!B:B))</f>
        <v>1.34</v>
      </c>
      <c r="R56" s="0" t="str">
        <f aca="false">IF(G56&gt;=1,   "Ferromagnetic / Ferrimagnetic",   IF(G56&gt;=0.05,      "Paramagnetic / Weakly magnetic",      "Antiferromagnetic / Diamagnetic"))</f>
        <v>Ferromagnetic / Ferrimagnetic</v>
      </c>
      <c r="U56" s="0" t="str">
        <f aca="false">IF(G56&gt;=1,
   "FM → PM (Curie-type)",
   IF(G56&lt;0.05,
      "AFM → PM (Néel-type)",
      "No long-range magnetic transition"))</f>
        <v>FM → PM (Curie-type)</v>
      </c>
    </row>
    <row r="57" customFormat="false" ht="13.8" hidden="false" customHeight="false" outlineLevel="0" collapsed="false">
      <c r="A57" s="0" t="s">
        <v>160</v>
      </c>
      <c r="B57" s="0" t="s">
        <v>159</v>
      </c>
      <c r="C57" s="0" t="s">
        <v>76</v>
      </c>
      <c r="D57" s="0" t="n">
        <v>-2.5672965662931</v>
      </c>
      <c r="E57" s="0" t="n">
        <v>0.123589096466654</v>
      </c>
      <c r="F57" s="0" t="n">
        <v>0.320999999999999</v>
      </c>
      <c r="G57" s="0" t="n">
        <v>1.99999669999999</v>
      </c>
      <c r="H57" s="0" t="s">
        <v>161</v>
      </c>
      <c r="I57" s="2" t="b">
        <f aca="false">TRUE()</f>
        <v>1</v>
      </c>
      <c r="J57" s="0" t="str">
        <f aca="false">IF(AND(CODE(MID(B57,2,1))&gt;=97,CODE(MID(B57,2,1))&lt;=122),LEFT(B57,2),LEFT(B57,1))</f>
        <v>Ba</v>
      </c>
      <c r="K57" s="0" t="n">
        <f aca="false">IF(J57="","",_xlfn.XLOOKUP(TRIM(J57),Metallic_Radius_Table!A:A,Metallic_Radius_Table!B:B))</f>
        <v>2.17</v>
      </c>
      <c r="L57" s="0" t="str">
        <f aca="false">IF(ISNUMBER(SEARCH("La",B57)),"La",
 IF(ISNUMBER(SEARCH("Nd",B57)),"Nd",
 IF(ISNUMBER(SEARCH("Eu",B57)),"Eu",
 IF(ISNUMBER(SEARCH("Gd",B57)),"Gd",""))))</f>
        <v>La</v>
      </c>
      <c r="M57" s="0" t="n">
        <f aca="false">IF(L57="","",_xlfn.XLOOKUP(TRIM(L57),Metallic_Radius_Table!A:A,Metallic_Radius_Table!B:B))</f>
        <v>1.87</v>
      </c>
      <c r="N57" s="0" t="str">
        <f aca="false">TRIM(LEFT(C57,FIND(",",C57)-1))</f>
        <v>Mn</v>
      </c>
      <c r="O57" s="3" t="n">
        <f aca="false">IF(N57="","",_xlfn.XLOOKUP(TRIM(N57),Metallic_Radius_Table!A:A,Metallic_Radius_Table!B:B))</f>
        <v>1.27</v>
      </c>
      <c r="P57" s="0" t="str">
        <f aca="false">TRIM(MID(C57,FIND(",",C57)+1,5))</f>
        <v>Ru</v>
      </c>
      <c r="Q57" s="0" t="n">
        <f aca="false">IF(P57="","",_xlfn.XLOOKUP(TRIM(P57),Metallic_Radius_Table!A:A,Metallic_Radius_Table!B:B))</f>
        <v>1.34</v>
      </c>
      <c r="R57" s="0" t="str">
        <f aca="false">IF(G57&gt;=1,   "Ferromagnetic / Ferrimagnetic",   IF(G57&gt;=0.05,      "Paramagnetic / Weakly magnetic",      "Antiferromagnetic / Diamagnetic"))</f>
        <v>Ferromagnetic / Ferrimagnetic</v>
      </c>
      <c r="U57" s="0" t="str">
        <f aca="false">IF(G57&gt;=1,
   "FM → PM (Curie-type)",
   IF(G57&lt;0.05,
      "AFM → PM (Néel-type)",
      "No long-range magnetic transition"))</f>
        <v>FM → PM (Curie-type)</v>
      </c>
    </row>
    <row r="58" customFormat="false" ht="13.8" hidden="false" customHeight="false" outlineLevel="0" collapsed="false">
      <c r="A58" s="0" t="s">
        <v>162</v>
      </c>
      <c r="B58" s="0" t="s">
        <v>159</v>
      </c>
      <c r="C58" s="0" t="s">
        <v>76</v>
      </c>
      <c r="D58" s="0" t="n">
        <v>-2.5412320577931</v>
      </c>
      <c r="E58" s="0" t="n">
        <v>0.149653604966655</v>
      </c>
      <c r="F58" s="0" t="n">
        <v>0</v>
      </c>
      <c r="G58" s="0" t="n">
        <v>15.8583723</v>
      </c>
      <c r="H58" s="0" t="s">
        <v>163</v>
      </c>
      <c r="I58" s="2" t="b">
        <f aca="false">TRUE()</f>
        <v>1</v>
      </c>
      <c r="J58" s="0" t="str">
        <f aca="false">IF(AND(CODE(MID(B58,2,1))&gt;=97,CODE(MID(B58,2,1))&lt;=122),LEFT(B58,2),LEFT(B58,1))</f>
        <v>Ba</v>
      </c>
      <c r="K58" s="0" t="n">
        <f aca="false">IF(J58="","",_xlfn.XLOOKUP(TRIM(J58),Metallic_Radius_Table!A:A,Metallic_Radius_Table!B:B))</f>
        <v>2.17</v>
      </c>
      <c r="L58" s="0" t="str">
        <f aca="false">IF(ISNUMBER(SEARCH("La",B58)),"La",
 IF(ISNUMBER(SEARCH("Nd",B58)),"Nd",
 IF(ISNUMBER(SEARCH("Eu",B58)),"Eu",
 IF(ISNUMBER(SEARCH("Gd",B58)),"Gd",""))))</f>
        <v>La</v>
      </c>
      <c r="M58" s="0" t="n">
        <f aca="false">IF(L58="","",_xlfn.XLOOKUP(TRIM(L58),Metallic_Radius_Table!A:A,Metallic_Radius_Table!B:B))</f>
        <v>1.87</v>
      </c>
      <c r="N58" s="0" t="str">
        <f aca="false">TRIM(LEFT(C58,FIND(",",C58)-1))</f>
        <v>Mn</v>
      </c>
      <c r="O58" s="3" t="n">
        <f aca="false">IF(N58="","",_xlfn.XLOOKUP(TRIM(N58),Metallic_Radius_Table!A:A,Metallic_Radius_Table!B:B))</f>
        <v>1.27</v>
      </c>
      <c r="P58" s="0" t="str">
        <f aca="false">TRIM(MID(C58,FIND(",",C58)+1,5))</f>
        <v>Ru</v>
      </c>
      <c r="Q58" s="0" t="n">
        <f aca="false">IF(P58="","",_xlfn.XLOOKUP(TRIM(P58),Metallic_Radius_Table!A:A,Metallic_Radius_Table!B:B))</f>
        <v>1.34</v>
      </c>
      <c r="R58" s="0" t="str">
        <f aca="false">IF(G58&gt;=1,   "Ferromagnetic / Ferrimagnetic",   IF(G58&gt;=0.05,      "Paramagnetic / Weakly magnetic",      "Antiferromagnetic / Diamagnetic"))</f>
        <v>Ferromagnetic / Ferrimagnetic</v>
      </c>
      <c r="U58" s="0" t="str">
        <f aca="false">IF(G58&gt;=1,
   "FM → PM (Curie-type)",
   IF(G58&lt;0.05,
      "AFM → PM (Néel-type)",
      "No long-range magnetic transition"))</f>
        <v>FM → PM (Curie-type)</v>
      </c>
    </row>
    <row r="59" customFormat="false" ht="13.8" hidden="false" customHeight="false" outlineLevel="0" collapsed="false">
      <c r="A59" s="0" t="s">
        <v>164</v>
      </c>
      <c r="B59" s="0" t="s">
        <v>165</v>
      </c>
      <c r="C59" s="0" t="s">
        <v>85</v>
      </c>
      <c r="D59" s="0" t="n">
        <v>-3.0665843775</v>
      </c>
      <c r="E59" s="0" t="n">
        <v>0.127025262016658</v>
      </c>
      <c r="F59" s="0" t="n">
        <v>0</v>
      </c>
      <c r="G59" s="0" t="n">
        <v>1.999924</v>
      </c>
      <c r="H59" s="0" t="s">
        <v>111</v>
      </c>
      <c r="I59" s="2" t="b">
        <f aca="false">TRUE()</f>
        <v>1</v>
      </c>
      <c r="J59" s="0" t="str">
        <f aca="false">IF(AND(CODE(MID(B59,2,1))&gt;=97,CODE(MID(B59,2,1))&lt;=122),LEFT(B59,2),LEFT(B59,1))</f>
        <v>Ba</v>
      </c>
      <c r="K59" s="0" t="n">
        <f aca="false">IF(J59="","",_xlfn.XLOOKUP(TRIM(J59),Metallic_Radius_Table!A:A,Metallic_Radius_Table!B:B))</f>
        <v>2.17</v>
      </c>
      <c r="L59" s="0" t="str">
        <f aca="false">IF(ISNUMBER(SEARCH("La",B59)),"La",
 IF(ISNUMBER(SEARCH("Nd",B59)),"Nd",
 IF(ISNUMBER(SEARCH("Eu",B59)),"Eu",
 IF(ISNUMBER(SEARCH("Gd",B59)),"Gd",""))))</f>
        <v>La</v>
      </c>
      <c r="M59" s="0" t="n">
        <f aca="false">IF(L59="","",_xlfn.XLOOKUP(TRIM(L59),Metallic_Radius_Table!A:A,Metallic_Radius_Table!B:B))</f>
        <v>1.87</v>
      </c>
      <c r="N59" s="0" t="str">
        <f aca="false">TRIM(LEFT(C59,FIND(",",C59)-1))</f>
        <v>Cr</v>
      </c>
      <c r="O59" s="3" t="n">
        <f aca="false">IF(N59="","",_xlfn.XLOOKUP(TRIM(N59),Metallic_Radius_Table!A:A,Metallic_Radius_Table!B:B))</f>
        <v>1.28</v>
      </c>
      <c r="P59" s="0" t="str">
        <f aca="false">TRIM(MID(C59,FIND(",",C59)+1,5))</f>
        <v>Nb</v>
      </c>
      <c r="Q59" s="0" t="n">
        <f aca="false">IF(P59="","",_xlfn.XLOOKUP(TRIM(P59),Metallic_Radius_Table!A:A,Metallic_Radius_Table!B:B))</f>
        <v>1.46</v>
      </c>
      <c r="R59" s="0" t="str">
        <f aca="false">IF(G59&gt;=1,   "Ferromagnetic / Ferrimagnetic",   IF(G59&gt;=0.05,      "Paramagnetic / Weakly magnetic",      "Antiferromagnetic / Diamagnetic"))</f>
        <v>Ferromagnetic / Ferrimagnetic</v>
      </c>
      <c r="U59" s="0" t="str">
        <f aca="false">IF(G59&gt;=1,
   "FM → PM (Curie-type)",
   IF(G59&lt;0.05,
      "AFM → PM (Néel-type)",
      "No long-range magnetic transition"))</f>
        <v>FM → PM (Curie-type)</v>
      </c>
    </row>
    <row r="60" customFormat="false" ht="13.8" hidden="false" customHeight="false" outlineLevel="0" collapsed="false">
      <c r="A60" s="0" t="s">
        <v>166</v>
      </c>
      <c r="B60" s="0" t="s">
        <v>167</v>
      </c>
      <c r="C60" s="0" t="s">
        <v>168</v>
      </c>
      <c r="D60" s="0" t="n">
        <v>-2.37273658949999</v>
      </c>
      <c r="E60" s="0" t="n">
        <v>0.039392856166665</v>
      </c>
      <c r="F60" s="0" t="n">
        <v>0</v>
      </c>
      <c r="G60" s="0" t="n">
        <v>5.0061727</v>
      </c>
      <c r="H60" s="0" t="s">
        <v>169</v>
      </c>
      <c r="I60" s="2" t="b">
        <f aca="false">TRUE()</f>
        <v>1</v>
      </c>
      <c r="J60" s="0" t="str">
        <f aca="false">IF(AND(CODE(MID(B60,2,1))&gt;=97,CODE(MID(B60,2,1))&lt;=122),LEFT(B60,2),LEFT(B60,1))</f>
        <v>Ba</v>
      </c>
      <c r="K60" s="0" t="n">
        <f aca="false">IF(J60="","",_xlfn.XLOOKUP(TRIM(J60),Metallic_Radius_Table!A:A,Metallic_Radius_Table!B:B))</f>
        <v>2.17</v>
      </c>
      <c r="L60" s="0" t="str">
        <f aca="false">IF(ISNUMBER(SEARCH("La",B60)),"La",
 IF(ISNUMBER(SEARCH("Nd",B60)),"Nd",
 IF(ISNUMBER(SEARCH("Eu",B60)),"Eu",
 IF(ISNUMBER(SEARCH("Gd",B60)),"Gd",""))))</f>
        <v>La</v>
      </c>
      <c r="M60" s="0" t="n">
        <f aca="false">IF(L60="","",_xlfn.XLOOKUP(TRIM(L60),Metallic_Radius_Table!A:A,Metallic_Radius_Table!B:B))</f>
        <v>1.87</v>
      </c>
      <c r="N60" s="0" t="str">
        <f aca="false">TRIM(LEFT(C60,FIND(",",C60)-1))</f>
        <v>Ru</v>
      </c>
      <c r="O60" s="3" t="n">
        <f aca="false">IF(N60="","",_xlfn.XLOOKUP(TRIM(N60),Metallic_Radius_Table!A:A,Metallic_Radius_Table!B:B))</f>
        <v>1.34</v>
      </c>
      <c r="P60" s="0" t="str">
        <f aca="false">TRIM(MID(C60,FIND(",",C60)+1,5))</f>
        <v>Ni</v>
      </c>
      <c r="Q60" s="0" t="n">
        <f aca="false">IF(P60="","",_xlfn.XLOOKUP(TRIM(P60),Metallic_Radius_Table!A:A,Metallic_Radius_Table!B:B))</f>
        <v>1.24</v>
      </c>
      <c r="R60" s="0" t="str">
        <f aca="false">IF(G60&gt;=1,   "Ferromagnetic / Ferrimagnetic",   IF(G60&gt;=0.05,      "Paramagnetic / Weakly magnetic",      "Antiferromagnetic / Diamagnetic"))</f>
        <v>Ferromagnetic / Ferrimagnetic</v>
      </c>
      <c r="U60" s="0" t="str">
        <f aca="false">IF(G60&gt;=1,
   "FM → PM (Curie-type)",
   IF(G60&lt;0.05,
      "AFM → PM (Néel-type)",
      "No long-range magnetic transition"))</f>
        <v>FM → PM (Curie-type)</v>
      </c>
    </row>
    <row r="61" customFormat="false" ht="13.8" hidden="false" customHeight="false" outlineLevel="0" collapsed="false">
      <c r="A61" s="0" t="s">
        <v>170</v>
      </c>
      <c r="B61" s="0" t="s">
        <v>171</v>
      </c>
      <c r="C61" s="0" t="s">
        <v>172</v>
      </c>
      <c r="D61" s="0" t="n">
        <v>-3.18655668902643</v>
      </c>
      <c r="E61" s="0" t="n">
        <v>0.123896606166656</v>
      </c>
      <c r="F61" s="0" t="n">
        <v>1.0025</v>
      </c>
      <c r="G61" s="0" t="n">
        <v>5.00002</v>
      </c>
      <c r="H61" s="0" t="s">
        <v>111</v>
      </c>
      <c r="I61" s="2" t="b">
        <f aca="false">TRUE()</f>
        <v>1</v>
      </c>
      <c r="J61" s="0" t="str">
        <f aca="false">IF(AND(CODE(MID(B61,2,1))&gt;=97,CODE(MID(B61,2,1))&lt;=122),LEFT(B61,2),LEFT(B61,1))</f>
        <v>Ba</v>
      </c>
      <c r="K61" s="0" t="n">
        <f aca="false">IF(J61="","",_xlfn.XLOOKUP(TRIM(J61),Metallic_Radius_Table!A:A,Metallic_Radius_Table!B:B))</f>
        <v>2.17</v>
      </c>
      <c r="L61" s="0" t="str">
        <f aca="false">IF(ISNUMBER(SEARCH("La",B61)),"La",
 IF(ISNUMBER(SEARCH("Nd",B61)),"Nd",
 IF(ISNUMBER(SEARCH("Eu",B61)),"Eu",
 IF(ISNUMBER(SEARCH("Gd",B61)),"Gd",""))))</f>
        <v>La</v>
      </c>
      <c r="M61" s="0" t="n">
        <f aca="false">IF(L61="","",_xlfn.XLOOKUP(TRIM(L61),Metallic_Radius_Table!A:A,Metallic_Radius_Table!B:B))</f>
        <v>1.87</v>
      </c>
      <c r="N61" s="0" t="str">
        <f aca="false">TRIM(LEFT(C61,FIND(",",C61)-1))</f>
        <v>Mn</v>
      </c>
      <c r="O61" s="3" t="n">
        <f aca="false">IF(N61="","",_xlfn.XLOOKUP(TRIM(N61),Metallic_Radius_Table!A:A,Metallic_Radius_Table!B:B))</f>
        <v>1.27</v>
      </c>
      <c r="P61" s="0" t="str">
        <f aca="false">TRIM(MID(C61,FIND(",",C61)+1,5))</f>
        <v>Ta</v>
      </c>
      <c r="Q61" s="0" t="n">
        <f aca="false">IF(P61="","",_xlfn.XLOOKUP(TRIM(P61),Metallic_Radius_Table!A:A,Metallic_Radius_Table!B:B))</f>
        <v>1.46</v>
      </c>
      <c r="R61" s="0" t="str">
        <f aca="false">IF(G61&gt;=1,   "Ferromagnetic / Ferrimagnetic",   IF(G61&gt;=0.05,      "Paramagnetic / Weakly magnetic",      "Antiferromagnetic / Diamagnetic"))</f>
        <v>Ferromagnetic / Ferrimagnetic</v>
      </c>
      <c r="U61" s="0" t="str">
        <f aca="false">IF(G61&gt;=1,
   "FM → PM (Curie-type)",
   IF(G61&lt;0.05,
      "AFM → PM (Néel-type)",
      "No long-range magnetic transition"))</f>
        <v>FM → PM (Curie-type)</v>
      </c>
    </row>
    <row r="62" customFormat="false" ht="13.8" hidden="false" customHeight="false" outlineLevel="0" collapsed="false">
      <c r="A62" s="0" t="s">
        <v>173</v>
      </c>
      <c r="B62" s="0" t="s">
        <v>174</v>
      </c>
      <c r="C62" s="0" t="s">
        <v>175</v>
      </c>
      <c r="D62" s="0" t="n">
        <v>-3.29082848533333</v>
      </c>
      <c r="E62" s="0" t="n">
        <v>0.053622175750016</v>
      </c>
      <c r="F62" s="0" t="n">
        <v>2.2522</v>
      </c>
      <c r="G62" s="4" t="n">
        <v>1E-007</v>
      </c>
      <c r="H62" s="0" t="s">
        <v>111</v>
      </c>
      <c r="I62" s="2" t="b">
        <f aca="false">TRUE()</f>
        <v>1</v>
      </c>
      <c r="J62" s="0" t="str">
        <f aca="false">IF(AND(CODE(MID(B62,2,1))&gt;=97,CODE(MID(B62,2,1))&lt;=122),LEFT(B62,2),LEFT(B62,1))</f>
        <v>Ba</v>
      </c>
      <c r="K62" s="0" t="n">
        <f aca="false">IF(J62="","",_xlfn.XLOOKUP(TRIM(J62),Metallic_Radius_Table!A:A,Metallic_Radius_Table!B:B))</f>
        <v>2.17</v>
      </c>
      <c r="L62" s="0" t="str">
        <f aca="false">IF(ISNUMBER(SEARCH("La",B62)),"La",
 IF(ISNUMBER(SEARCH("Nd",B62)),"Nd",
 IF(ISNUMBER(SEARCH("Eu",B62)),"Eu",
 IF(ISNUMBER(SEARCH("Gd",B62)),"Gd",""))))</f>
        <v>La</v>
      </c>
      <c r="M62" s="0" t="n">
        <f aca="false">IF(L62="","",_xlfn.XLOOKUP(TRIM(L62),Metallic_Radius_Table!A:A,Metallic_Radius_Table!B:B))</f>
        <v>1.87</v>
      </c>
      <c r="N62" s="0" t="str">
        <f aca="false">TRIM(LEFT(C62,FIND(",",C62)-1))</f>
        <v>Cr</v>
      </c>
      <c r="O62" s="3" t="n">
        <f aca="false">IF(N62="","",_xlfn.XLOOKUP(TRIM(N62),Metallic_Radius_Table!A:A,Metallic_Radius_Table!B:B))</f>
        <v>1.28</v>
      </c>
      <c r="P62" s="0" t="str">
        <f aca="false">TRIM(MID(C62,FIND(",",C62)+1,5))</f>
        <v>Ti</v>
      </c>
      <c r="Q62" s="0" t="n">
        <f aca="false">IF(P62="","",_xlfn.XLOOKUP(TRIM(P62),Metallic_Radius_Table!A:A,Metallic_Radius_Table!B:B))</f>
        <v>1.47</v>
      </c>
      <c r="R62" s="0" t="str">
        <f aca="false">IF(G62&gt;=1,   "Ferromagnetic / Ferrimagnetic",   IF(G62&gt;=0.05,      "Paramagnetic / Weakly magnetic",      "Antiferromagnetic / Diamagnetic"))</f>
        <v>Antiferromagnetic / Diamagnetic</v>
      </c>
      <c r="U62" s="0" t="str">
        <f aca="false">IF(G62&gt;=1,
   "FM → PM (Curie-type)",
   IF(G62&lt;0.05,
      "AFM → PM (Néel-type)",
      "No long-range magnetic transition"))</f>
        <v>AFM → PM (Néel-type)</v>
      </c>
    </row>
    <row r="63" customFormat="false" ht="13.8" hidden="false" customHeight="false" outlineLevel="0" collapsed="false">
      <c r="A63" s="0" t="s">
        <v>176</v>
      </c>
      <c r="B63" s="0" t="s">
        <v>174</v>
      </c>
      <c r="C63" s="0" t="s">
        <v>175</v>
      </c>
      <c r="D63" s="0" t="n">
        <v>-3.29738807508333</v>
      </c>
      <c r="E63" s="0" t="n">
        <v>0.047062586000015</v>
      </c>
      <c r="F63" s="0" t="n">
        <v>1.22499999999999</v>
      </c>
      <c r="G63" s="0" t="n">
        <v>11.9988121</v>
      </c>
      <c r="H63" s="0" t="s">
        <v>177</v>
      </c>
      <c r="I63" s="2" t="b">
        <f aca="false">TRUE()</f>
        <v>1</v>
      </c>
      <c r="J63" s="0" t="str">
        <f aca="false">IF(AND(CODE(MID(B63,2,1))&gt;=97,CODE(MID(B63,2,1))&lt;=122),LEFT(B63,2),LEFT(B63,1))</f>
        <v>Ba</v>
      </c>
      <c r="K63" s="0" t="n">
        <f aca="false">IF(J63="","",_xlfn.XLOOKUP(TRIM(J63),Metallic_Radius_Table!A:A,Metallic_Radius_Table!B:B))</f>
        <v>2.17</v>
      </c>
      <c r="L63" s="0" t="str">
        <f aca="false">IF(ISNUMBER(SEARCH("La",B63)),"La",
 IF(ISNUMBER(SEARCH("Nd",B63)),"Nd",
 IF(ISNUMBER(SEARCH("Eu",B63)),"Eu",
 IF(ISNUMBER(SEARCH("Gd",B63)),"Gd",""))))</f>
        <v>La</v>
      </c>
      <c r="M63" s="0" t="n">
        <f aca="false">IF(L63="","",_xlfn.XLOOKUP(TRIM(L63),Metallic_Radius_Table!A:A,Metallic_Radius_Table!B:B))</f>
        <v>1.87</v>
      </c>
      <c r="N63" s="0" t="str">
        <f aca="false">TRIM(LEFT(C63,FIND(",",C63)-1))</f>
        <v>Cr</v>
      </c>
      <c r="O63" s="3" t="n">
        <f aca="false">IF(N63="","",_xlfn.XLOOKUP(TRIM(N63),Metallic_Radius_Table!A:A,Metallic_Radius_Table!B:B))</f>
        <v>1.28</v>
      </c>
      <c r="P63" s="0" t="str">
        <f aca="false">TRIM(MID(C63,FIND(",",C63)+1,5))</f>
        <v>Ti</v>
      </c>
      <c r="Q63" s="0" t="n">
        <f aca="false">IF(P63="","",_xlfn.XLOOKUP(TRIM(P63),Metallic_Radius_Table!A:A,Metallic_Radius_Table!B:B))</f>
        <v>1.47</v>
      </c>
      <c r="R63" s="0" t="str">
        <f aca="false">IF(G63&gt;=1,   "Ferromagnetic / Ferrimagnetic",   IF(G63&gt;=0.05,      "Paramagnetic / Weakly magnetic",      "Antiferromagnetic / Diamagnetic"))</f>
        <v>Ferromagnetic / Ferrimagnetic</v>
      </c>
      <c r="U63" s="0" t="str">
        <f aca="false">IF(G63&gt;=1,
   "FM → PM (Curie-type)",
   IF(G63&lt;0.05,
      "AFM → PM (Néel-type)",
      "No long-range magnetic transition"))</f>
        <v>FM → PM (Curie-type)</v>
      </c>
    </row>
    <row r="64" customFormat="false" ht="13.8" hidden="false" customHeight="false" outlineLevel="0" collapsed="false">
      <c r="A64" s="0" t="s">
        <v>178</v>
      </c>
      <c r="B64" s="0" t="s">
        <v>179</v>
      </c>
      <c r="C64" s="0" t="s">
        <v>180</v>
      </c>
      <c r="D64" s="0" t="n">
        <v>-3.11263003233333</v>
      </c>
      <c r="E64" s="0" t="n">
        <v>0.059971858499999</v>
      </c>
      <c r="F64" s="0" t="n">
        <v>1.78379999999999</v>
      </c>
      <c r="G64" s="0" t="n">
        <v>0</v>
      </c>
      <c r="H64" s="0" t="s">
        <v>111</v>
      </c>
      <c r="I64" s="2" t="b">
        <f aca="false">TRUE()</f>
        <v>1</v>
      </c>
      <c r="J64" s="0" t="str">
        <f aca="false">IF(AND(CODE(MID(B64,2,1))&gt;=97,CODE(MID(B64,2,1))&lt;=122),LEFT(B64,2),LEFT(B64,1))</f>
        <v>Ba</v>
      </c>
      <c r="K64" s="0" t="n">
        <f aca="false">IF(J64="","",_xlfn.XLOOKUP(TRIM(J64),Metallic_Radius_Table!A:A,Metallic_Radius_Table!B:B))</f>
        <v>2.17</v>
      </c>
      <c r="L64" s="0" t="str">
        <f aca="false">IF(ISNUMBER(SEARCH("La",B64)),"La",
 IF(ISNUMBER(SEARCH("Nd",B64)),"Nd",
 IF(ISNUMBER(SEARCH("Eu",B64)),"Eu",
 IF(ISNUMBER(SEARCH("Gd",B64)),"Gd",""))))</f>
        <v>La</v>
      </c>
      <c r="M64" s="0" t="n">
        <f aca="false">IF(L64="","",_xlfn.XLOOKUP(TRIM(L64),Metallic_Radius_Table!A:A,Metallic_Radius_Table!B:B))</f>
        <v>1.87</v>
      </c>
      <c r="N64" s="0" t="str">
        <f aca="false">TRIM(LEFT(C64,FIND(",",C64)-1))</f>
        <v>Fe</v>
      </c>
      <c r="O64" s="3" t="n">
        <f aca="false">IF(N64="","",_xlfn.XLOOKUP(TRIM(N64),Metallic_Radius_Table!A:A,Metallic_Radius_Table!B:B))</f>
        <v>1.26</v>
      </c>
      <c r="P64" s="0" t="str">
        <f aca="false">TRIM(MID(C64,FIND(",",C64)+1,5))</f>
        <v>Ti</v>
      </c>
      <c r="Q64" s="0" t="n">
        <f aca="false">IF(P64="","",_xlfn.XLOOKUP(TRIM(P64),Metallic_Radius_Table!A:A,Metallic_Radius_Table!B:B))</f>
        <v>1.47</v>
      </c>
      <c r="R64" s="0" t="str">
        <f aca="false">IF(G64&gt;=1,   "Ferromagnetic / Ferrimagnetic",   IF(G64&gt;=0.05,      "Paramagnetic / Weakly magnetic",      "Antiferromagnetic / Diamagnetic"))</f>
        <v>Antiferromagnetic / Diamagnetic</v>
      </c>
      <c r="U64" s="0" t="str">
        <f aca="false">IF(G64&gt;=1,
   "FM → PM (Curie-type)",
   IF(G64&lt;0.05,
      "AFM → PM (Néel-type)",
      "No long-range magnetic transition"))</f>
        <v>AFM → PM (Néel-type)</v>
      </c>
    </row>
    <row r="65" customFormat="false" ht="13.8" hidden="false" customHeight="false" outlineLevel="0" collapsed="false">
      <c r="A65" s="0" t="s">
        <v>181</v>
      </c>
      <c r="B65" s="0" t="s">
        <v>182</v>
      </c>
      <c r="C65" s="0" t="s">
        <v>79</v>
      </c>
      <c r="D65" s="0" t="n">
        <v>-2.19195733145976</v>
      </c>
      <c r="E65" s="0" t="n">
        <v>0.194802626833336</v>
      </c>
      <c r="F65" s="0" t="n">
        <v>0</v>
      </c>
      <c r="G65" s="0" t="n">
        <v>4.5399525</v>
      </c>
      <c r="H65" s="0" t="s">
        <v>111</v>
      </c>
      <c r="I65" s="2" t="b">
        <f aca="false">TRUE()</f>
        <v>1</v>
      </c>
      <c r="J65" s="0" t="str">
        <f aca="false">IF(AND(CODE(MID(B65,2,1))&gt;=97,CODE(MID(B65,2,1))&lt;=122),LEFT(B65,2),LEFT(B65,1))</f>
        <v>Ba</v>
      </c>
      <c r="K65" s="0" t="n">
        <f aca="false">IF(J65="","",_xlfn.XLOOKUP(TRIM(J65),Metallic_Radius_Table!A:A,Metallic_Radius_Table!B:B))</f>
        <v>2.17</v>
      </c>
      <c r="L65" s="0" t="str">
        <f aca="false">IF(ISNUMBER(SEARCH("La",B65)),"La",
 IF(ISNUMBER(SEARCH("Nd",B65)),"Nd",
 IF(ISNUMBER(SEARCH("Eu",B65)),"Eu",
 IF(ISNUMBER(SEARCH("Gd",B65)),"Gd",""))))</f>
        <v/>
      </c>
      <c r="M65" s="0" t="str">
        <f aca="false">IF(L65="","",_xlfn.XLOOKUP(TRIM(L65),Metallic_Radius_Table!A:A,Metallic_Radius_Table!B:B))</f>
        <v/>
      </c>
      <c r="N65" s="0" t="str">
        <f aca="false">TRIM(LEFT(C65,FIND(",",C65)-1))</f>
        <v>Mn</v>
      </c>
      <c r="O65" s="3" t="n">
        <f aca="false">IF(N65="","",_xlfn.XLOOKUP(TRIM(N65),Metallic_Radius_Table!A:A,Metallic_Radius_Table!B:B))</f>
        <v>1.27</v>
      </c>
      <c r="P65" s="0" t="str">
        <f aca="false">TRIM(MID(C65,FIND(",",C65)+1,5))</f>
        <v>W</v>
      </c>
      <c r="Q65" s="0" t="n">
        <f aca="false">IF(P65="","",_xlfn.XLOOKUP(TRIM(P65),Metallic_Radius_Table!A:A,Metallic_Radius_Table!B:B))</f>
        <v>1.41</v>
      </c>
      <c r="R65" s="0" t="str">
        <f aca="false">IF(G65&gt;=1,   "Ferromagnetic / Ferrimagnetic",   IF(G65&gt;=0.05,      "Paramagnetic / Weakly magnetic",      "Antiferromagnetic / Diamagnetic"))</f>
        <v>Ferromagnetic / Ferrimagnetic</v>
      </c>
      <c r="U65" s="0" t="str">
        <f aca="false">IF(G65&gt;=1,
   "FM → PM (Curie-type)",
   IF(G65&lt;0.05,
      "AFM → PM (Néel-type)",
      "No long-range magnetic transition"))</f>
        <v>FM → PM (Curie-type)</v>
      </c>
    </row>
    <row r="66" customFormat="false" ht="13.8" hidden="false" customHeight="false" outlineLevel="0" collapsed="false">
      <c r="A66" s="0" t="s">
        <v>183</v>
      </c>
      <c r="B66" s="0" t="s">
        <v>184</v>
      </c>
      <c r="C66" s="0" t="s">
        <v>185</v>
      </c>
      <c r="D66" s="0" t="n">
        <v>-3.13772750847126</v>
      </c>
      <c r="E66" s="0" t="n">
        <v>0.030822862999997</v>
      </c>
      <c r="F66" s="0" t="n">
        <v>1.56509999999999</v>
      </c>
      <c r="G66" s="0" t="n">
        <v>0.0007635</v>
      </c>
      <c r="H66" s="0" t="s">
        <v>111</v>
      </c>
      <c r="I66" s="2" t="b">
        <f aca="false">TRUE()</f>
        <v>1</v>
      </c>
      <c r="J66" s="0" t="str">
        <f aca="false">IF(AND(CODE(MID(B66,2,1))&gt;=97,CODE(MID(B66,2,1))&lt;=122),LEFT(B66,2),LEFT(B66,1))</f>
        <v>Ba</v>
      </c>
      <c r="K66" s="0" t="n">
        <f aca="false">IF(J66="","",_xlfn.XLOOKUP(TRIM(J66),Metallic_Radius_Table!A:A,Metallic_Radius_Table!B:B))</f>
        <v>2.17</v>
      </c>
      <c r="L66" s="0" t="str">
        <f aca="false">IF(ISNUMBER(SEARCH("La",B66)),"La",
 IF(ISNUMBER(SEARCH("Nd",B66)),"Nd",
 IF(ISNUMBER(SEARCH("Eu",B66)),"Eu",
 IF(ISNUMBER(SEARCH("Gd",B66)),"Gd",""))))</f>
        <v/>
      </c>
      <c r="M66" s="0" t="str">
        <f aca="false">IF(L66="","",_xlfn.XLOOKUP(TRIM(L66),Metallic_Radius_Table!A:A,Metallic_Radius_Table!B:B))</f>
        <v/>
      </c>
      <c r="N66" s="0" t="str">
        <f aca="false">TRIM(LEFT(C66,FIND(",",C66)-1))</f>
        <v>Nb</v>
      </c>
      <c r="O66" s="3" t="n">
        <f aca="false">IF(N66="","",_xlfn.XLOOKUP(TRIM(N66),Metallic_Radius_Table!A:A,Metallic_Radius_Table!B:B))</f>
        <v>1.46</v>
      </c>
      <c r="P66" s="0" t="str">
        <f aca="false">TRIM(MID(C66,FIND(",",C66)+1,5))</f>
        <v>Ti</v>
      </c>
      <c r="Q66" s="0" t="n">
        <f aca="false">IF(P66="","",_xlfn.XLOOKUP(TRIM(P66),Metallic_Radius_Table!A:A,Metallic_Radius_Table!B:B))</f>
        <v>1.47</v>
      </c>
      <c r="R66" s="0" t="str">
        <f aca="false">IF(G66&gt;=1,   "Ferromagnetic / Ferrimagnetic",   IF(G66&gt;=0.05,      "Paramagnetic / Weakly magnetic",      "Antiferromagnetic / Diamagnetic"))</f>
        <v>Antiferromagnetic / Diamagnetic</v>
      </c>
      <c r="U66" s="0" t="str">
        <f aca="false">IF(G66&gt;=1,
   "FM → PM (Curie-type)",
   IF(G66&lt;0.05,
      "AFM → PM (Néel-type)",
      "No long-range magnetic transition"))</f>
        <v>AFM → PM (Néel-type)</v>
      </c>
    </row>
    <row r="67" customFormat="false" ht="13.8" hidden="false" customHeight="false" outlineLevel="0" collapsed="false">
      <c r="A67" s="0" t="s">
        <v>186</v>
      </c>
      <c r="B67" s="0" t="s">
        <v>187</v>
      </c>
      <c r="C67" s="0" t="s">
        <v>85</v>
      </c>
      <c r="D67" s="0" t="n">
        <v>-2.71384755499999</v>
      </c>
      <c r="E67" s="0" t="n">
        <v>0.180641513499987</v>
      </c>
      <c r="F67" s="0" t="n">
        <v>0</v>
      </c>
      <c r="G67" s="0" t="n">
        <v>4.7459269</v>
      </c>
      <c r="H67" s="0" t="s">
        <v>22</v>
      </c>
      <c r="I67" s="2" t="b">
        <f aca="false">TRUE()</f>
        <v>1</v>
      </c>
      <c r="J67" s="0" t="str">
        <f aca="false">IF(AND(CODE(MID(B67,2,1))&gt;=97,CODE(MID(B67,2,1))&lt;=122),LEFT(B67,2),LEFT(B67,1))</f>
        <v>Ba</v>
      </c>
      <c r="K67" s="0" t="n">
        <f aca="false">IF(J67="","",_xlfn.XLOOKUP(TRIM(J67),Metallic_Radius_Table!A:A,Metallic_Radius_Table!B:B))</f>
        <v>2.17</v>
      </c>
      <c r="L67" s="0" t="str">
        <f aca="false">IF(ISNUMBER(SEARCH("La",B67)),"La",
 IF(ISNUMBER(SEARCH("Nd",B67)),"Nd",
 IF(ISNUMBER(SEARCH("Eu",B67)),"Eu",
 IF(ISNUMBER(SEARCH("Gd",B67)),"Gd",""))))</f>
        <v/>
      </c>
      <c r="M67" s="0" t="str">
        <f aca="false">IF(L67="","",_xlfn.XLOOKUP(TRIM(L67),Metallic_Radius_Table!A:A,Metallic_Radius_Table!B:B))</f>
        <v/>
      </c>
      <c r="N67" s="0" t="str">
        <f aca="false">TRIM(LEFT(C67,FIND(",",C67)-1))</f>
        <v>Cr</v>
      </c>
      <c r="O67" s="3" t="n">
        <f aca="false">IF(N67="","",_xlfn.XLOOKUP(TRIM(N67),Metallic_Radius_Table!A:A,Metallic_Radius_Table!B:B))</f>
        <v>1.28</v>
      </c>
      <c r="P67" s="0" t="str">
        <f aca="false">TRIM(MID(C67,FIND(",",C67)+1,5))</f>
        <v>Nb</v>
      </c>
      <c r="Q67" s="0" t="n">
        <f aca="false">IF(P67="","",_xlfn.XLOOKUP(TRIM(P67),Metallic_Radius_Table!A:A,Metallic_Radius_Table!B:B))</f>
        <v>1.46</v>
      </c>
      <c r="R67" s="0" t="str">
        <f aca="false">IF(G67&gt;=1,   "Ferromagnetic / Ferrimagnetic",   IF(G67&gt;=0.05,      "Paramagnetic / Weakly magnetic",      "Antiferromagnetic / Diamagnetic"))</f>
        <v>Ferromagnetic / Ferrimagnetic</v>
      </c>
      <c r="U67" s="0" t="str">
        <f aca="false">IF(G67&gt;=1,
   "FM → PM (Curie-type)",
   IF(G67&lt;0.05,
      "AFM → PM (Néel-type)",
      "No long-range magnetic transition"))</f>
        <v>FM → PM (Curie-type)</v>
      </c>
    </row>
    <row r="68" customFormat="false" ht="13.8" hidden="false" customHeight="false" outlineLevel="0" collapsed="false">
      <c r="A68" s="0" t="s">
        <v>188</v>
      </c>
      <c r="B68" s="0" t="s">
        <v>189</v>
      </c>
      <c r="C68" s="0" t="s">
        <v>125</v>
      </c>
      <c r="D68" s="0" t="n">
        <v>-2.42001267766666</v>
      </c>
      <c r="E68" s="0" t="n">
        <v>0.1861718270278</v>
      </c>
      <c r="F68" s="0" t="n">
        <v>0</v>
      </c>
      <c r="G68" s="0" t="n">
        <v>2</v>
      </c>
      <c r="H68" s="0" t="s">
        <v>111</v>
      </c>
      <c r="I68" s="2" t="b">
        <f aca="false">TRUE()</f>
        <v>1</v>
      </c>
      <c r="J68" s="0" t="str">
        <f aca="false">IF(AND(CODE(MID(B68,2,1))&gt;=97,CODE(MID(B68,2,1))&lt;=122),LEFT(B68,2),LEFT(B68,1))</f>
        <v>Ba</v>
      </c>
      <c r="K68" s="0" t="n">
        <f aca="false">IF(J68="","",_xlfn.XLOOKUP(TRIM(J68),Metallic_Radius_Table!A:A,Metallic_Radius_Table!B:B))</f>
        <v>2.17</v>
      </c>
      <c r="L68" s="0" t="str">
        <f aca="false">IF(ISNUMBER(SEARCH("La",B68)),"La",
 IF(ISNUMBER(SEARCH("Nd",B68)),"Nd",
 IF(ISNUMBER(SEARCH("Eu",B68)),"Eu",
 IF(ISNUMBER(SEARCH("Gd",B68)),"Gd",""))))</f>
        <v/>
      </c>
      <c r="M68" s="0" t="str">
        <f aca="false">IF(L68="","",_xlfn.XLOOKUP(TRIM(L68),Metallic_Radius_Table!A:A,Metallic_Radius_Table!B:B))</f>
        <v/>
      </c>
      <c r="N68" s="0" t="str">
        <f aca="false">TRIM(LEFT(C68,FIND(",",C68)-1))</f>
        <v>Nb</v>
      </c>
      <c r="O68" s="3" t="n">
        <f aca="false">IF(N68="","",_xlfn.XLOOKUP(TRIM(N68),Metallic_Radius_Table!A:A,Metallic_Radius_Table!B:B))</f>
        <v>1.46</v>
      </c>
      <c r="P68" s="0" t="str">
        <f aca="false">TRIM(MID(C68,FIND(",",C68)+1,5))</f>
        <v>W</v>
      </c>
      <c r="Q68" s="0" t="n">
        <f aca="false">IF(P68="","",_xlfn.XLOOKUP(TRIM(P68),Metallic_Radius_Table!A:A,Metallic_Radius_Table!B:B))</f>
        <v>1.41</v>
      </c>
      <c r="R68" s="0" t="str">
        <f aca="false">IF(G68&gt;=1,   "Ferromagnetic / Ferrimagnetic",   IF(G68&gt;=0.05,      "Paramagnetic / Weakly magnetic",      "Antiferromagnetic / Diamagnetic"))</f>
        <v>Ferromagnetic / Ferrimagnetic</v>
      </c>
      <c r="U68" s="0" t="str">
        <f aca="false">IF(G68&gt;=1,
   "FM → PM (Curie-type)",
   IF(G68&lt;0.05,
      "AFM → PM (Néel-type)",
      "No long-range magnetic transition"))</f>
        <v>FM → PM (Curie-type)</v>
      </c>
    </row>
    <row r="69" customFormat="false" ht="13.8" hidden="false" customHeight="false" outlineLevel="0" collapsed="false">
      <c r="A69" s="0" t="s">
        <v>190</v>
      </c>
      <c r="B69" s="0" t="s">
        <v>191</v>
      </c>
      <c r="C69" s="0" t="s">
        <v>192</v>
      </c>
      <c r="D69" s="0" t="n">
        <v>-2.33368072575</v>
      </c>
      <c r="E69" s="0" t="n">
        <v>0.0784512655</v>
      </c>
      <c r="F69" s="0" t="n">
        <v>0</v>
      </c>
      <c r="G69" s="0" t="n">
        <v>6.0003537</v>
      </c>
      <c r="H69" s="0" t="s">
        <v>193</v>
      </c>
      <c r="I69" s="2" t="b">
        <f aca="false">TRUE()</f>
        <v>1</v>
      </c>
      <c r="J69" s="0" t="str">
        <f aca="false">IF(AND(CODE(MID(B69,2,1))&gt;=97,CODE(MID(B69,2,1))&lt;=122),LEFT(B69,2),LEFT(B69,1))</f>
        <v>Ba</v>
      </c>
      <c r="K69" s="0" t="n">
        <f aca="false">IF(J69="","",_xlfn.XLOOKUP(TRIM(J69),Metallic_Radius_Table!A:A,Metallic_Radius_Table!B:B))</f>
        <v>2.17</v>
      </c>
      <c r="L69" s="0" t="str">
        <f aca="false">IF(ISNUMBER(SEARCH("La",B69)),"La",
 IF(ISNUMBER(SEARCH("Nd",B69)),"Nd",
 IF(ISNUMBER(SEARCH("Eu",B69)),"Eu",
 IF(ISNUMBER(SEARCH("Gd",B69)),"Gd",""))))</f>
        <v>Nd</v>
      </c>
      <c r="M69" s="0" t="n">
        <f aca="false">IF(L69="","",_xlfn.XLOOKUP(TRIM(L69),Metallic_Radius_Table!A:A,Metallic_Radius_Table!B:B))</f>
        <v>1.82</v>
      </c>
      <c r="N69" s="0" t="str">
        <f aca="false">TRIM(LEFT(C69,FIND(",",C69)-1))</f>
        <v>Fe</v>
      </c>
      <c r="O69" s="3" t="n">
        <f aca="false">IF(N69="","",_xlfn.XLOOKUP(TRIM(N69),Metallic_Radius_Table!A:A,Metallic_Radius_Table!B:B))</f>
        <v>1.26</v>
      </c>
      <c r="P69" s="0" t="str">
        <f aca="false">TRIM(MID(C69,FIND(",",C69)+1,5))</f>
        <v>Co</v>
      </c>
      <c r="Q69" s="0" t="n">
        <f aca="false">IF(P69="","",_xlfn.XLOOKUP(TRIM(P69),Metallic_Radius_Table!A:A,Metallic_Radius_Table!B:B))</f>
        <v>1.25</v>
      </c>
      <c r="R69" s="0" t="str">
        <f aca="false">IF(G69&gt;=1,   "Ferromagnetic / Ferrimagnetic",   IF(G69&gt;=0.05,      "Paramagnetic / Weakly magnetic",      "Antiferromagnetic / Diamagnetic"))</f>
        <v>Ferromagnetic / Ferrimagnetic</v>
      </c>
      <c r="U69" s="0" t="str">
        <f aca="false">IF(G69&gt;=1,
   "FM → PM (Curie-type)",
   IF(G69&lt;0.05,
      "AFM → PM (Néel-type)",
      "No long-range magnetic transition"))</f>
        <v>FM → PM (Curie-type)</v>
      </c>
    </row>
    <row r="70" customFormat="false" ht="13.8" hidden="false" customHeight="false" outlineLevel="0" collapsed="false">
      <c r="A70" s="0" t="s">
        <v>194</v>
      </c>
      <c r="B70" s="0" t="s">
        <v>195</v>
      </c>
      <c r="C70" s="0" t="s">
        <v>120</v>
      </c>
      <c r="D70" s="0" t="n">
        <v>-3.52449929975</v>
      </c>
      <c r="E70" s="0" t="n">
        <v>0.195317215612494</v>
      </c>
      <c r="F70" s="0" t="n">
        <v>0</v>
      </c>
      <c r="G70" s="0" t="n">
        <v>0.000187699999999</v>
      </c>
      <c r="H70" s="0" t="s">
        <v>111</v>
      </c>
      <c r="I70" s="2" t="b">
        <f aca="false">TRUE()</f>
        <v>1</v>
      </c>
      <c r="J70" s="0" t="str">
        <f aca="false">IF(AND(CODE(MID(B70,2,1))&gt;=97,CODE(MID(B70,2,1))&lt;=122),LEFT(B70,2),LEFT(B70,1))</f>
        <v>Ba</v>
      </c>
      <c r="K70" s="0" t="n">
        <f aca="false">IF(J70="","",_xlfn.XLOOKUP(TRIM(J70),Metallic_Radius_Table!A:A,Metallic_Radius_Table!B:B))</f>
        <v>2.17</v>
      </c>
      <c r="L70" s="0" t="str">
        <f aca="false">IF(ISNUMBER(SEARCH("La",B70)),"La",
 IF(ISNUMBER(SEARCH("Nd",B70)),"Nd",
 IF(ISNUMBER(SEARCH("Eu",B70)),"Eu",
 IF(ISNUMBER(SEARCH("Gd",B70)),"Gd",""))))</f>
        <v>Nd</v>
      </c>
      <c r="M70" s="0" t="n">
        <f aca="false">IF(L70="","",_xlfn.XLOOKUP(TRIM(L70),Metallic_Radius_Table!A:A,Metallic_Radius_Table!B:B))</f>
        <v>1.82</v>
      </c>
      <c r="N70" s="0" t="str">
        <f aca="false">TRIM(LEFT(C70,FIND(",",C70)-1))</f>
        <v>Zr</v>
      </c>
      <c r="O70" s="3" t="n">
        <f aca="false">IF(N70="","",_xlfn.XLOOKUP(TRIM(N70),Metallic_Radius_Table!A:A,Metallic_Radius_Table!B:B))</f>
        <v>1.6</v>
      </c>
      <c r="P70" s="0" t="str">
        <f aca="false">TRIM(MID(C70,FIND(",",C70)+1,5))</f>
        <v>Hf</v>
      </c>
      <c r="Q70" s="0" t="n">
        <f aca="false">IF(P70="","",_xlfn.XLOOKUP(TRIM(P70),Metallic_Radius_Table!A:A,Metallic_Radius_Table!B:B))</f>
        <v>1.59</v>
      </c>
      <c r="R70" s="0" t="str">
        <f aca="false">IF(G70&gt;=1,   "Ferromagnetic / Ferrimagnetic",   IF(G70&gt;=0.05,      "Paramagnetic / Weakly magnetic",      "Antiferromagnetic / Diamagnetic"))</f>
        <v>Antiferromagnetic / Diamagnetic</v>
      </c>
      <c r="U70" s="0" t="str">
        <f aca="false">IF(G70&gt;=1,
   "FM → PM (Curie-type)",
   IF(G70&lt;0.05,
      "AFM → PM (Néel-type)",
      "No long-range magnetic transition"))</f>
        <v>AFM → PM (Néel-type)</v>
      </c>
    </row>
    <row r="71" customFormat="false" ht="13.8" hidden="false" customHeight="false" outlineLevel="0" collapsed="false">
      <c r="A71" s="0" t="s">
        <v>196</v>
      </c>
      <c r="B71" s="0" t="s">
        <v>197</v>
      </c>
      <c r="C71" s="0" t="s">
        <v>198</v>
      </c>
      <c r="D71" s="0" t="n">
        <v>-2.4436261250431</v>
      </c>
      <c r="E71" s="0" t="n">
        <v>0.088181212166666</v>
      </c>
      <c r="F71" s="0" t="n">
        <v>0</v>
      </c>
      <c r="G71" s="0" t="n">
        <v>13.9980881</v>
      </c>
      <c r="H71" s="0" t="s">
        <v>199</v>
      </c>
      <c r="I71" s="2" t="b">
        <f aca="false">TRUE()</f>
        <v>1</v>
      </c>
      <c r="J71" s="0" t="str">
        <f aca="false">IF(AND(CODE(MID(B71,2,1))&gt;=97,CODE(MID(B71,2,1))&lt;=122),LEFT(B71,2),LEFT(B71,1))</f>
        <v>Ba</v>
      </c>
      <c r="K71" s="0" t="n">
        <f aca="false">IF(J71="","",_xlfn.XLOOKUP(TRIM(J71),Metallic_Radius_Table!A:A,Metallic_Radius_Table!B:B))</f>
        <v>2.17</v>
      </c>
      <c r="L71" s="0" t="str">
        <f aca="false">IF(ISNUMBER(SEARCH("La",B71)),"La",
 IF(ISNUMBER(SEARCH("Nd",B71)),"Nd",
 IF(ISNUMBER(SEARCH("Eu",B71)),"Eu",
 IF(ISNUMBER(SEARCH("Gd",B71)),"Gd",""))))</f>
        <v>Nd</v>
      </c>
      <c r="M71" s="0" t="n">
        <f aca="false">IF(L71="","",_xlfn.XLOOKUP(TRIM(L71),Metallic_Radius_Table!A:A,Metallic_Radius_Table!B:B))</f>
        <v>1.82</v>
      </c>
      <c r="N71" s="0" t="str">
        <f aca="false">TRIM(LEFT(C71,FIND(",",C71)-1))</f>
        <v>Mn</v>
      </c>
      <c r="O71" s="3" t="n">
        <f aca="false">IF(N71="","",_xlfn.XLOOKUP(TRIM(N71),Metallic_Radius_Table!A:A,Metallic_Radius_Table!B:B))</f>
        <v>1.27</v>
      </c>
      <c r="P71" s="0" t="str">
        <f aca="false">TRIM(MID(C71,FIND(",",C71)+1,5))</f>
        <v>Co</v>
      </c>
      <c r="Q71" s="0" t="n">
        <f aca="false">IF(P71="","",_xlfn.XLOOKUP(TRIM(P71),Metallic_Radius_Table!A:A,Metallic_Radius_Table!B:B))</f>
        <v>1.25</v>
      </c>
      <c r="R71" s="0" t="str">
        <f aca="false">IF(G71&gt;=1,   "Ferromagnetic / Ferrimagnetic",   IF(G71&gt;=0.05,      "Paramagnetic / Weakly magnetic",      "Antiferromagnetic / Diamagnetic"))</f>
        <v>Ferromagnetic / Ferrimagnetic</v>
      </c>
      <c r="U71" s="0" t="str">
        <f aca="false">IF(G71&gt;=1,
   "FM → PM (Curie-type)",
   IF(G71&lt;0.05,
      "AFM → PM (Néel-type)",
      "No long-range magnetic transition"))</f>
        <v>FM → PM (Curie-type)</v>
      </c>
    </row>
    <row r="72" customFormat="false" ht="13.8" hidden="false" customHeight="false" outlineLevel="0" collapsed="false">
      <c r="A72" s="0" t="s">
        <v>200</v>
      </c>
      <c r="B72" s="0" t="s">
        <v>201</v>
      </c>
      <c r="C72" s="0" t="s">
        <v>202</v>
      </c>
      <c r="D72" s="0" t="n">
        <v>-2.49505076912643</v>
      </c>
      <c r="E72" s="0" t="n">
        <v>0.168152721549985</v>
      </c>
      <c r="F72" s="0" t="n">
        <v>0</v>
      </c>
      <c r="G72" s="0" t="n">
        <v>4.0101239</v>
      </c>
      <c r="H72" s="0" t="s">
        <v>111</v>
      </c>
      <c r="I72" s="2" t="b">
        <f aca="false">TRUE()</f>
        <v>1</v>
      </c>
      <c r="J72" s="0" t="str">
        <f aca="false">IF(AND(CODE(MID(B72,2,1))&gt;=97,CODE(MID(B72,2,1))&lt;=122),LEFT(B72,2),LEFT(B72,1))</f>
        <v>Ba</v>
      </c>
      <c r="K72" s="0" t="n">
        <f aca="false">IF(J72="","",_xlfn.XLOOKUP(TRIM(J72),Metallic_Radius_Table!A:A,Metallic_Radius_Table!B:B))</f>
        <v>2.17</v>
      </c>
      <c r="L72" s="0" t="str">
        <f aca="false">IF(ISNUMBER(SEARCH("La",B72)),"La",
 IF(ISNUMBER(SEARCH("Nd",B72)),"Nd",
 IF(ISNUMBER(SEARCH("Eu",B72)),"Eu",
 IF(ISNUMBER(SEARCH("Gd",B72)),"Gd",""))))</f>
        <v/>
      </c>
      <c r="M72" s="0" t="str">
        <f aca="false">IF(L72="","",_xlfn.XLOOKUP(TRIM(L72),Metallic_Radius_Table!A:A,Metallic_Radius_Table!B:B))</f>
        <v/>
      </c>
      <c r="N72" s="0" t="str">
        <f aca="false">TRIM(LEFT(C72,FIND(",",C72)-1))</f>
        <v>Mn</v>
      </c>
      <c r="O72" s="3" t="n">
        <f aca="false">IF(N72="","",_xlfn.XLOOKUP(TRIM(N72),Metallic_Radius_Table!A:A,Metallic_Radius_Table!B:B))</f>
        <v>1.27</v>
      </c>
      <c r="P72" s="0" t="str">
        <f aca="false">TRIM(MID(C72,FIND(",",C72)+1,5))</f>
        <v>Ti</v>
      </c>
      <c r="Q72" s="0" t="n">
        <f aca="false">IF(P72="","",_xlfn.XLOOKUP(TRIM(P72),Metallic_Radius_Table!A:A,Metallic_Radius_Table!B:B))</f>
        <v>1.47</v>
      </c>
      <c r="R72" s="0" t="str">
        <f aca="false">IF(G72&gt;=1,   "Ferromagnetic / Ferrimagnetic",   IF(G72&gt;=0.05,      "Paramagnetic / Weakly magnetic",      "Antiferromagnetic / Diamagnetic"))</f>
        <v>Ferromagnetic / Ferrimagnetic</v>
      </c>
      <c r="U72" s="0" t="str">
        <f aca="false">IF(G72&gt;=1,
   "FM → PM (Curie-type)",
   IF(G72&lt;0.05,
      "AFM → PM (Néel-type)",
      "No long-range magnetic transition"))</f>
        <v>FM → PM (Curie-type)</v>
      </c>
    </row>
    <row r="73" customFormat="false" ht="13.8" hidden="false" customHeight="false" outlineLevel="0" collapsed="false">
      <c r="A73" s="0" t="s">
        <v>203</v>
      </c>
      <c r="B73" s="0" t="s">
        <v>204</v>
      </c>
      <c r="C73" s="0" t="s">
        <v>205</v>
      </c>
      <c r="D73" s="0" t="n">
        <v>-2.87396858112643</v>
      </c>
      <c r="E73" s="0" t="n">
        <v>0.195677998405583</v>
      </c>
      <c r="F73" s="0" t="n">
        <v>0</v>
      </c>
      <c r="G73" s="0" t="n">
        <v>4.9234599</v>
      </c>
      <c r="H73" s="0" t="s">
        <v>111</v>
      </c>
      <c r="I73" s="2" t="b">
        <f aca="false">TRUE()</f>
        <v>1</v>
      </c>
      <c r="J73" s="0" t="str">
        <f aca="false">IF(AND(CODE(MID(B73,2,1))&gt;=97,CODE(MID(B73,2,1))&lt;=122),LEFT(B73,2),LEFT(B73,1))</f>
        <v>Ba</v>
      </c>
      <c r="K73" s="0" t="n">
        <f aca="false">IF(J73="","",_xlfn.XLOOKUP(TRIM(J73),Metallic_Radius_Table!A:A,Metallic_Radius_Table!B:B))</f>
        <v>2.17</v>
      </c>
      <c r="L73" s="0" t="str">
        <f aca="false">IF(ISNUMBER(SEARCH("La",B73)),"La",
 IF(ISNUMBER(SEARCH("Nd",B73)),"Nd",
 IF(ISNUMBER(SEARCH("Eu",B73)),"Eu",
 IF(ISNUMBER(SEARCH("Gd",B73)),"Gd",""))))</f>
        <v/>
      </c>
      <c r="M73" s="0" t="str">
        <f aca="false">IF(L73="","",_xlfn.XLOOKUP(TRIM(L73),Metallic_Radius_Table!A:A,Metallic_Radius_Table!B:B))</f>
        <v/>
      </c>
      <c r="N73" s="0" t="str">
        <f aca="false">TRIM(LEFT(C73,FIND(",",C73)-1))</f>
        <v>Mn</v>
      </c>
      <c r="O73" s="3" t="n">
        <f aca="false">IF(N73="","",_xlfn.XLOOKUP(TRIM(N73),Metallic_Radius_Table!A:A,Metallic_Radius_Table!B:B))</f>
        <v>1.27</v>
      </c>
      <c r="P73" s="0" t="s">
        <v>206</v>
      </c>
      <c r="Q73" s="0" t="n">
        <f aca="false">IF(P73="","",_xlfn.XLOOKUP(TRIM(P73),Metallic_Radius_Table!A:A,Metallic_Radius_Table!B:B))</f>
        <v>1.46</v>
      </c>
      <c r="R73" s="0" t="str">
        <f aca="false">IF(G73&gt;=1,   "Ferromagnetic / Ferrimagnetic",   IF(G73&gt;=0.05,      "Paramagnetic / Weakly magnetic",      "Antiferromagnetic / Diamagnetic"))</f>
        <v>Ferromagnetic / Ferrimagnetic</v>
      </c>
      <c r="U73" s="0" t="str">
        <f aca="false">IF(G73&gt;=1,
   "FM → PM (Curie-type)",
   IF(G73&lt;0.05,
      "AFM → PM (Néel-type)",
      "No long-range magnetic transition"))</f>
        <v>FM → PM (Curie-type)</v>
      </c>
    </row>
    <row r="74" customFormat="false" ht="13.8" hidden="false" customHeight="false" outlineLevel="0" collapsed="false">
      <c r="A74" s="0" t="s">
        <v>207</v>
      </c>
      <c r="B74" s="0" t="s">
        <v>208</v>
      </c>
      <c r="C74" s="0" t="s">
        <v>185</v>
      </c>
      <c r="D74" s="0" t="n">
        <v>-2.90355266008333</v>
      </c>
      <c r="E74" s="0" t="n">
        <v>0.145619113250019</v>
      </c>
      <c r="F74" s="0" t="n">
        <v>0.6275</v>
      </c>
      <c r="G74" s="0" t="n">
        <v>0</v>
      </c>
      <c r="H74" s="0" t="s">
        <v>111</v>
      </c>
      <c r="I74" s="2" t="b">
        <f aca="false">TRUE()</f>
        <v>1</v>
      </c>
      <c r="J74" s="0" t="str">
        <f aca="false">IF(AND(CODE(MID(B74,2,1))&gt;=97,CODE(MID(B74,2,1))&lt;=122),LEFT(B74,2),LEFT(B74,1))</f>
        <v>Ba</v>
      </c>
      <c r="K74" s="0" t="n">
        <f aca="false">IF(J74="","",_xlfn.XLOOKUP(TRIM(J74),Metallic_Radius_Table!A:A,Metallic_Radius_Table!B:B))</f>
        <v>2.17</v>
      </c>
      <c r="L74" s="0" t="str">
        <f aca="false">IF(ISNUMBER(SEARCH("La",B74)),"La",
 IF(ISNUMBER(SEARCH("Nd",B74)),"Nd",
 IF(ISNUMBER(SEARCH("Eu",B74)),"Eu",
 IF(ISNUMBER(SEARCH("Gd",B74)),"Gd",""))))</f>
        <v/>
      </c>
      <c r="M74" s="0" t="str">
        <f aca="false">IF(L74="","",_xlfn.XLOOKUP(TRIM(L74),Metallic_Radius_Table!A:A,Metallic_Radius_Table!B:B))</f>
        <v/>
      </c>
      <c r="N74" s="0" t="str">
        <f aca="false">TRIM(LEFT(C74,FIND(",",C74)-1))</f>
        <v>Nb</v>
      </c>
      <c r="O74" s="3" t="n">
        <f aca="false">IF(N74="","",_xlfn.XLOOKUP(TRIM(N74),Metallic_Radius_Table!A:A,Metallic_Radius_Table!B:B))</f>
        <v>1.46</v>
      </c>
      <c r="P74" s="0" t="str">
        <f aca="false">TRIM(MID(C74,FIND(",",C74)+1,5))</f>
        <v>Ti</v>
      </c>
      <c r="Q74" s="0" t="n">
        <f aca="false">IF(P74="","",_xlfn.XLOOKUP(TRIM(P74),Metallic_Radius_Table!A:A,Metallic_Radius_Table!B:B))</f>
        <v>1.47</v>
      </c>
      <c r="R74" s="0" t="str">
        <f aca="false">IF(G74&gt;=1,   "Ferromagnetic / Ferrimagnetic",   IF(G74&gt;=0.05,      "Paramagnetic / Weakly magnetic",      "Antiferromagnetic / Diamagnetic"))</f>
        <v>Antiferromagnetic / Diamagnetic</v>
      </c>
      <c r="U74" s="0" t="str">
        <f aca="false">IF(G74&gt;=1,
   "FM → PM (Curie-type)",
   IF(G74&lt;0.05,
      "AFM → PM (Néel-type)",
      "No long-range magnetic transition"))</f>
        <v>AFM → PM (Néel-type)</v>
      </c>
    </row>
    <row r="75" customFormat="false" ht="13.8" hidden="false" customHeight="false" outlineLevel="0" collapsed="false">
      <c r="A75" s="0" t="s">
        <v>209</v>
      </c>
      <c r="B75" s="0" t="s">
        <v>210</v>
      </c>
      <c r="C75" s="0" t="s">
        <v>211</v>
      </c>
      <c r="D75" s="0" t="n">
        <v>-2.28422854466666</v>
      </c>
      <c r="E75" s="0" t="n">
        <v>0.163241989473213</v>
      </c>
      <c r="F75" s="0" t="n">
        <v>0</v>
      </c>
      <c r="G75" s="0" t="n">
        <v>2.0421198</v>
      </c>
      <c r="H75" s="0" t="s">
        <v>111</v>
      </c>
      <c r="I75" s="2" t="b">
        <f aca="false">TRUE()</f>
        <v>1</v>
      </c>
      <c r="J75" s="0" t="str">
        <f aca="false">IF(AND(CODE(MID(B75,2,1))&gt;=97,CODE(MID(B75,2,1))&lt;=122),LEFT(B75,2),LEFT(B75,1))</f>
        <v>Ba</v>
      </c>
      <c r="K75" s="0" t="n">
        <f aca="false">IF(J75="","",_xlfn.XLOOKUP(TRIM(J75),Metallic_Radius_Table!A:A,Metallic_Radius_Table!B:B))</f>
        <v>2.17</v>
      </c>
      <c r="L75" s="0" t="str">
        <f aca="false">IF(ISNUMBER(SEARCH("La",B75)),"La",
 IF(ISNUMBER(SEARCH("Nd",B75)),"Nd",
 IF(ISNUMBER(SEARCH("Eu",B75)),"Eu",
 IF(ISNUMBER(SEARCH("Gd",B75)),"Gd",""))))</f>
        <v/>
      </c>
      <c r="M75" s="0" t="str">
        <f aca="false">IF(L75="","",_xlfn.XLOOKUP(TRIM(L75),Metallic_Radius_Table!A:A,Metallic_Radius_Table!B:B))</f>
        <v/>
      </c>
      <c r="N75" s="0" t="str">
        <f aca="false">TRIM(LEFT(C75,FIND(",",C75)-1))</f>
        <v>V</v>
      </c>
      <c r="O75" s="3" t="n">
        <f aca="false">IF(N75="","",_xlfn.XLOOKUP(TRIM(N75),Metallic_Radius_Table!A:A,Metallic_Radius_Table!B:B))</f>
        <v>1.34</v>
      </c>
      <c r="P75" s="0" t="str">
        <f aca="false">TRIM(MID(C75,FIND(",",C75)+1,5))</f>
        <v>W</v>
      </c>
      <c r="Q75" s="0" t="n">
        <f aca="false">IF(P75="","",_xlfn.XLOOKUP(TRIM(P75),Metallic_Radius_Table!A:A,Metallic_Radius_Table!B:B))</f>
        <v>1.41</v>
      </c>
      <c r="R75" s="0" t="str">
        <f aca="false">IF(G75&gt;=1,   "Ferromagnetic / Ferrimagnetic",   IF(G75&gt;=0.05,      "Paramagnetic / Weakly magnetic",      "Antiferromagnetic / Diamagnetic"))</f>
        <v>Ferromagnetic / Ferrimagnetic</v>
      </c>
      <c r="U75" s="0" t="str">
        <f aca="false">IF(G75&gt;=1,
   "FM → PM (Curie-type)",
   IF(G75&lt;0.05,
      "AFM → PM (Néel-type)",
      "No long-range magnetic transition"))</f>
        <v>FM → PM (Curie-type)</v>
      </c>
    </row>
    <row r="76" customFormat="false" ht="13.8" hidden="false" customHeight="false" outlineLevel="0" collapsed="false">
      <c r="A76" s="0" t="s">
        <v>212</v>
      </c>
      <c r="B76" s="0" t="s">
        <v>213</v>
      </c>
      <c r="C76" s="0" t="s">
        <v>128</v>
      </c>
      <c r="D76" s="0" t="n">
        <v>-3.00139788966666</v>
      </c>
      <c r="E76" s="0" t="n">
        <v>0.099896537472227</v>
      </c>
      <c r="F76" s="0" t="n">
        <v>0.606099999999999</v>
      </c>
      <c r="G76" s="0" t="n">
        <v>0</v>
      </c>
      <c r="H76" s="0" t="s">
        <v>111</v>
      </c>
      <c r="I76" s="2" t="b">
        <f aca="false">TRUE()</f>
        <v>1</v>
      </c>
      <c r="J76" s="0" t="str">
        <f aca="false">IF(AND(CODE(MID(B76,2,1))&gt;=97,CODE(MID(B76,2,1))&lt;=122),LEFT(B76,2),LEFT(B76,1))</f>
        <v>Ba</v>
      </c>
      <c r="K76" s="0" t="n">
        <f aca="false">IF(J76="","",_xlfn.XLOOKUP(TRIM(J76),Metallic_Radius_Table!A:A,Metallic_Radius_Table!B:B))</f>
        <v>2.17</v>
      </c>
      <c r="L76" s="0" t="str">
        <f aca="false">IF(ISNUMBER(SEARCH("La",B76)),"La",
 IF(ISNUMBER(SEARCH("Nd",B76)),"Nd",
 IF(ISNUMBER(SEARCH("Eu",B76)),"Eu",
 IF(ISNUMBER(SEARCH("Gd",B76)),"Gd",""))))</f>
        <v/>
      </c>
      <c r="M76" s="0" t="str">
        <f aca="false">IF(L76="","",_xlfn.XLOOKUP(TRIM(L76),Metallic_Radius_Table!A:A,Metallic_Radius_Table!B:B))</f>
        <v/>
      </c>
      <c r="N76" s="0" t="str">
        <f aca="false">TRIM(LEFT(C76,FIND(",",C76)-1))</f>
        <v>Zr</v>
      </c>
      <c r="O76" s="3" t="n">
        <f aca="false">IF(N76="","",_xlfn.XLOOKUP(TRIM(N76),Metallic_Radius_Table!A:A,Metallic_Radius_Table!B:B))</f>
        <v>1.6</v>
      </c>
      <c r="P76" s="0" t="str">
        <f aca="false">TRIM(MID(C76,FIND(",",C76)+1,5))</f>
        <v>Nb</v>
      </c>
      <c r="Q76" s="0" t="n">
        <f aca="false">IF(P76="","",_xlfn.XLOOKUP(TRIM(P76),Metallic_Radius_Table!A:A,Metallic_Radius_Table!B:B))</f>
        <v>1.46</v>
      </c>
      <c r="R76" s="0" t="str">
        <f aca="false">IF(G76&gt;=1,   "Ferromagnetic / Ferrimagnetic",   IF(G76&gt;=0.05,      "Paramagnetic / Weakly magnetic",      "Antiferromagnetic / Diamagnetic"))</f>
        <v>Antiferromagnetic / Diamagnetic</v>
      </c>
      <c r="U76" s="0" t="str">
        <f aca="false">IF(G76&gt;=1,
   "FM → PM (Curie-type)",
   IF(G76&lt;0.05,
      "AFM → PM (Néel-type)",
      "No long-range magnetic transition"))</f>
        <v>AFM → PM (Néel-type)</v>
      </c>
    </row>
    <row r="77" customFormat="false" ht="13.8" hidden="false" customHeight="false" outlineLevel="0" collapsed="false">
      <c r="A77" s="0" t="s">
        <v>214</v>
      </c>
      <c r="B77" s="0" t="s">
        <v>215</v>
      </c>
      <c r="C77" s="0" t="s">
        <v>216</v>
      </c>
      <c r="D77" s="0" t="n">
        <v>-3.028436694</v>
      </c>
      <c r="E77" s="0" t="n">
        <v>0.198604889944444</v>
      </c>
      <c r="F77" s="0" t="n">
        <v>0</v>
      </c>
      <c r="G77" s="4" t="n">
        <v>5.02E-005</v>
      </c>
      <c r="H77" s="0" t="s">
        <v>111</v>
      </c>
      <c r="I77" s="2" t="b">
        <f aca="false">TRUE()</f>
        <v>1</v>
      </c>
      <c r="J77" s="0" t="str">
        <f aca="false">IF(AND(CODE(MID(B77,2,1))&gt;=97,CODE(MID(B77,2,1))&lt;=122),LEFT(B77,2),LEFT(B77,1))</f>
        <v>Ba</v>
      </c>
      <c r="K77" s="0" t="n">
        <f aca="false">IF(J77="","",_xlfn.XLOOKUP(TRIM(J77),Metallic_Radius_Table!A:A,Metallic_Radius_Table!B:B))</f>
        <v>2.17</v>
      </c>
      <c r="L77" s="0" t="str">
        <f aca="false">IF(ISNUMBER(SEARCH("La",B77)),"La",
 IF(ISNUMBER(SEARCH("Nd",B77)),"Nd",
 IF(ISNUMBER(SEARCH("Eu",B77)),"Eu",
 IF(ISNUMBER(SEARCH("Gd",B77)),"Gd",""))))</f>
        <v/>
      </c>
      <c r="M77" s="0" t="str">
        <f aca="false">IF(L77="","",_xlfn.XLOOKUP(TRIM(L77),Metallic_Radius_Table!A:A,Metallic_Radius_Table!B:B))</f>
        <v/>
      </c>
      <c r="N77" s="0" t="str">
        <f aca="false">TRIM(LEFT(C77,FIND(",",C77)-1))</f>
        <v>Zr</v>
      </c>
      <c r="O77" s="3" t="n">
        <f aca="false">IF(N77="","",_xlfn.XLOOKUP(TRIM(N77),Metallic_Radius_Table!A:A,Metallic_Radius_Table!B:B))</f>
        <v>1.6</v>
      </c>
      <c r="P77" s="0" t="str">
        <f aca="false">TRIM(MID(C77,FIND(",",C77)+1,5))</f>
        <v>Ti</v>
      </c>
      <c r="Q77" s="0" t="n">
        <f aca="false">IF(P77="","",_xlfn.XLOOKUP(TRIM(P77),Metallic_Radius_Table!A:A,Metallic_Radius_Table!B:B))</f>
        <v>1.47</v>
      </c>
      <c r="R77" s="0" t="str">
        <f aca="false">IF(G77&gt;=1,   "Ferromagnetic / Ferrimagnetic",   IF(G77&gt;=0.05,      "Paramagnetic / Weakly magnetic",      "Antiferromagnetic / Diamagnetic"))</f>
        <v>Antiferromagnetic / Diamagnetic</v>
      </c>
      <c r="U77" s="0" t="str">
        <f aca="false">IF(G77&gt;=1,
   "FM → PM (Curie-type)",
   IF(G77&lt;0.05,
      "AFM → PM (Néel-type)",
      "No long-range magnetic transition"))</f>
        <v>AFM → PM (Néel-type)</v>
      </c>
    </row>
    <row r="78" customFormat="false" ht="13.8" hidden="false" customHeight="false" outlineLevel="0" collapsed="false">
      <c r="A78" s="0" t="s">
        <v>217</v>
      </c>
      <c r="B78" s="0" t="s">
        <v>218</v>
      </c>
      <c r="C78" s="0" t="s">
        <v>219</v>
      </c>
      <c r="D78" s="0" t="n">
        <v>-2.44190680425</v>
      </c>
      <c r="E78" s="0" t="n">
        <v>0.033321185000008</v>
      </c>
      <c r="F78" s="0" t="n">
        <v>0</v>
      </c>
      <c r="G78" s="0" t="n">
        <v>3.0213158</v>
      </c>
      <c r="H78" s="0" t="s">
        <v>22</v>
      </c>
      <c r="I78" s="2" t="b">
        <f aca="false">TRUE()</f>
        <v>1</v>
      </c>
      <c r="J78" s="0" t="str">
        <f aca="false">IF(AND(CODE(MID(B78,2,1))&gt;=97,CODE(MID(B78,2,1))&lt;=122),LEFT(B78,2),LEFT(B78,1))</f>
        <v>Ba</v>
      </c>
      <c r="K78" s="0" t="n">
        <f aca="false">IF(J78="","",_xlfn.XLOOKUP(TRIM(J78),Metallic_Radius_Table!A:A,Metallic_Radius_Table!B:B))</f>
        <v>2.17</v>
      </c>
      <c r="L78" s="0" t="str">
        <f aca="false">IF(ISNUMBER(SEARCH("La",B78)),"La",
 IF(ISNUMBER(SEARCH("Nd",B78)),"Nd",
 IF(ISNUMBER(SEARCH("Eu",B78)),"Eu",
 IF(ISNUMBER(SEARCH("Gd",B78)),"Gd",""))))</f>
        <v/>
      </c>
      <c r="M78" s="0" t="str">
        <f aca="false">IF(L78="","",_xlfn.XLOOKUP(TRIM(L78),Metallic_Radius_Table!A:A,Metallic_Radius_Table!B:B))</f>
        <v/>
      </c>
      <c r="N78" s="0" t="str">
        <f aca="false">TRIM(LEFT(C78,FIND(",",C78)-1))</f>
        <v>Re</v>
      </c>
      <c r="O78" s="3" t="n">
        <f aca="false">IF(N78="","",_xlfn.XLOOKUP(TRIM(N78),Metallic_Radius_Table!A:A,Metallic_Radius_Table!B:B))</f>
        <v>1.37</v>
      </c>
      <c r="P78" s="0" t="str">
        <f aca="false">TRIM(MID(C78,FIND(",",C78)+1,5))</f>
        <v>Ni</v>
      </c>
      <c r="Q78" s="0" t="n">
        <f aca="false">IF(P78="","",_xlfn.XLOOKUP(TRIM(P78),Metallic_Radius_Table!A:A,Metallic_Radius_Table!B:B))</f>
        <v>1.24</v>
      </c>
      <c r="R78" s="0" t="str">
        <f aca="false">IF(G78&gt;=1,   "Ferromagnetic / Ferrimagnetic",   IF(G78&gt;=0.05,      "Paramagnetic / Weakly magnetic",      "Antiferromagnetic / Diamagnetic"))</f>
        <v>Ferromagnetic / Ferrimagnetic</v>
      </c>
      <c r="U78" s="0" t="str">
        <f aca="false">IF(G78&gt;=1,
   "FM → PM (Curie-type)",
   IF(G78&lt;0.05,
      "AFM → PM (Néel-type)",
      "No long-range magnetic transition"))</f>
        <v>FM → PM (Curie-type)</v>
      </c>
    </row>
    <row r="79" customFormat="false" ht="13.8" hidden="false" customHeight="false" outlineLevel="0" collapsed="false">
      <c r="A79" s="0" t="s">
        <v>220</v>
      </c>
      <c r="B79" s="0" t="s">
        <v>221</v>
      </c>
      <c r="C79" s="0" t="s">
        <v>222</v>
      </c>
      <c r="D79" s="0" t="n">
        <v>-2.81175282073333</v>
      </c>
      <c r="E79" s="0" t="n">
        <v>0.073295865250001</v>
      </c>
      <c r="F79" s="0" t="n">
        <v>1.53279999999999</v>
      </c>
      <c r="G79" s="4" t="n">
        <v>1.21E-005</v>
      </c>
      <c r="H79" s="0" t="s">
        <v>22</v>
      </c>
      <c r="I79" s="2" t="b">
        <f aca="false">TRUE()</f>
        <v>1</v>
      </c>
      <c r="J79" s="0" t="str">
        <f aca="false">IF(AND(CODE(MID(B79,2,1))&gt;=97,CODE(MID(B79,2,1))&lt;=122),LEFT(B79,2),LEFT(B79,1))</f>
        <v>Ba</v>
      </c>
      <c r="K79" s="0" t="n">
        <f aca="false">IF(J79="","",_xlfn.XLOOKUP(TRIM(J79),Metallic_Radius_Table!A:A,Metallic_Radius_Table!B:B))</f>
        <v>2.17</v>
      </c>
      <c r="L79" s="0" t="str">
        <f aca="false">IF(ISNUMBER(SEARCH("La",B79)),"La",
 IF(ISNUMBER(SEARCH("Nd",B79)),"Nd",
 IF(ISNUMBER(SEARCH("Eu",B79)),"Eu",
 IF(ISNUMBER(SEARCH("Gd",B79)),"Gd",""))))</f>
        <v/>
      </c>
      <c r="M79" s="0" t="str">
        <f aca="false">IF(L79="","",_xlfn.XLOOKUP(TRIM(L79),Metallic_Radius_Table!A:A,Metallic_Radius_Table!B:B))</f>
        <v/>
      </c>
      <c r="N79" s="0" t="str">
        <f aca="false">TRIM(LEFT(C79,FIND(",",C79)-1))</f>
        <v>Co</v>
      </c>
      <c r="O79" s="3" t="n">
        <f aca="false">IF(N79="","",_xlfn.XLOOKUP(TRIM(N79),Metallic_Radius_Table!A:A,Metallic_Radius_Table!B:B))</f>
        <v>1.25</v>
      </c>
      <c r="P79" s="0" t="str">
        <f aca="false">TRIM(MID(C79,FIND(",",C79)+1,5))</f>
        <v>Ta</v>
      </c>
      <c r="Q79" s="0" t="n">
        <f aca="false">IF(P79="","",_xlfn.XLOOKUP(TRIM(P79),Metallic_Radius_Table!A:A,Metallic_Radius_Table!B:B))</f>
        <v>1.46</v>
      </c>
      <c r="R79" s="0" t="str">
        <f aca="false">IF(G79&gt;=1,   "Ferromagnetic / Ferrimagnetic",   IF(G79&gt;=0.05,      "Paramagnetic / Weakly magnetic",      "Antiferromagnetic / Diamagnetic"))</f>
        <v>Antiferromagnetic / Diamagnetic</v>
      </c>
      <c r="U79" s="0" t="str">
        <f aca="false">IF(G79&gt;=1,
   "FM → PM (Curie-type)",
   IF(G79&lt;0.05,
      "AFM → PM (Néel-type)",
      "No long-range magnetic transition"))</f>
        <v>AFM → PM (Néel-type)</v>
      </c>
    </row>
    <row r="80" customFormat="false" ht="13.8" hidden="false" customHeight="false" outlineLevel="0" collapsed="false">
      <c r="A80" s="0" t="s">
        <v>223</v>
      </c>
      <c r="B80" s="0" t="s">
        <v>224</v>
      </c>
      <c r="C80" s="0" t="s">
        <v>225</v>
      </c>
      <c r="D80" s="0" t="n">
        <v>-3.16791021648333</v>
      </c>
      <c r="E80" s="0" t="n">
        <v>0</v>
      </c>
      <c r="F80" s="0" t="n">
        <v>2.2009</v>
      </c>
      <c r="G80" s="0" t="n">
        <v>12.0005588</v>
      </c>
      <c r="H80" s="0" t="s">
        <v>86</v>
      </c>
      <c r="I80" s="2" t="b">
        <f aca="false">TRUE()</f>
        <v>1</v>
      </c>
      <c r="J80" s="0" t="str">
        <f aca="false">IF(AND(CODE(MID(B80,2,1))&gt;=97,CODE(MID(B80,2,1))&lt;=122),LEFT(B80,2),LEFT(B80,1))</f>
        <v>Ba</v>
      </c>
      <c r="K80" s="0" t="n">
        <f aca="false">IF(J80="","",_xlfn.XLOOKUP(TRIM(J80),Metallic_Radius_Table!A:A,Metallic_Radius_Table!B:B))</f>
        <v>2.17</v>
      </c>
      <c r="L80" s="0" t="str">
        <f aca="false">IF(ISNUMBER(SEARCH("La",B80)),"La",
 IF(ISNUMBER(SEARCH("Nd",B80)),"Nd",
 IF(ISNUMBER(SEARCH("Eu",B80)),"Eu",
 IF(ISNUMBER(SEARCH("Gd",B80)),"Gd",""))))</f>
        <v/>
      </c>
      <c r="M80" s="0" t="str">
        <f aca="false">IF(L80="","",_xlfn.XLOOKUP(TRIM(L80),Metallic_Radius_Table!A:A,Metallic_Radius_Table!B:B))</f>
        <v/>
      </c>
      <c r="N80" s="0" t="str">
        <f aca="false">TRIM(LEFT(C80,FIND(",",C80)-1))</f>
        <v>Cr</v>
      </c>
      <c r="O80" s="3" t="n">
        <f aca="false">IF(N80="","",_xlfn.XLOOKUP(TRIM(N80),Metallic_Radius_Table!A:A,Metallic_Radius_Table!B:B))</f>
        <v>1.28</v>
      </c>
      <c r="P80" s="0" t="str">
        <f aca="false">TRIM(MID(C80,FIND(",",C80)+1,5))</f>
        <v>Ta</v>
      </c>
      <c r="Q80" s="0" t="n">
        <f aca="false">IF(P80="","",_xlfn.XLOOKUP(TRIM(P80),Metallic_Radius_Table!A:A,Metallic_Radius_Table!B:B))</f>
        <v>1.46</v>
      </c>
      <c r="R80" s="0" t="str">
        <f aca="false">IF(G80&gt;=1,   "Ferromagnetic / Ferrimagnetic",   IF(G80&gt;=0.05,      "Paramagnetic / Weakly magnetic",      "Antiferromagnetic / Diamagnetic"))</f>
        <v>Ferromagnetic / Ferrimagnetic</v>
      </c>
      <c r="U80" s="0" t="str">
        <f aca="false">IF(G80&gt;=1,
   "FM → PM (Curie-type)",
   IF(G80&lt;0.05,
      "AFM → PM (Néel-type)",
      "No long-range magnetic transition"))</f>
        <v>FM → PM (Curie-type)</v>
      </c>
    </row>
    <row r="81" customFormat="false" ht="13.8" hidden="false" customHeight="false" outlineLevel="0" collapsed="false">
      <c r="A81" s="0" t="s">
        <v>226</v>
      </c>
      <c r="B81" s="0" t="s">
        <v>227</v>
      </c>
      <c r="C81" s="0" t="s">
        <v>228</v>
      </c>
      <c r="D81" s="0" t="n">
        <v>-3.00621388623333</v>
      </c>
      <c r="E81" s="0" t="n">
        <v>0</v>
      </c>
      <c r="F81" s="0" t="n">
        <v>1.86229999999999</v>
      </c>
      <c r="G81" s="0" t="n">
        <v>0</v>
      </c>
      <c r="H81" s="0" t="s">
        <v>22</v>
      </c>
      <c r="I81" s="2" t="b">
        <f aca="false">TRUE()</f>
        <v>1</v>
      </c>
      <c r="J81" s="0" t="str">
        <f aca="false">IF(AND(CODE(MID(B81,2,1))&gt;=97,CODE(MID(B81,2,1))&lt;=122),LEFT(B81,2),LEFT(B81,1))</f>
        <v>Ba</v>
      </c>
      <c r="K81" s="0" t="n">
        <f aca="false">IF(J81="","",_xlfn.XLOOKUP(TRIM(J81),Metallic_Radius_Table!A:A,Metallic_Radius_Table!B:B))</f>
        <v>2.17</v>
      </c>
      <c r="L81" s="0" t="str">
        <f aca="false">IF(ISNUMBER(SEARCH("La",B81)),"La",
 IF(ISNUMBER(SEARCH("Nd",B81)),"Nd",
 IF(ISNUMBER(SEARCH("Eu",B81)),"Eu",
 IF(ISNUMBER(SEARCH("Gd",B81)),"Gd",""))))</f>
        <v/>
      </c>
      <c r="M81" s="0" t="str">
        <f aca="false">IF(L81="","",_xlfn.XLOOKUP(TRIM(L81),Metallic_Radius_Table!A:A,Metallic_Radius_Table!B:B))</f>
        <v/>
      </c>
      <c r="N81" s="0" t="str">
        <f aca="false">TRIM(LEFT(C81,FIND(",",C81)-1))</f>
        <v>Fe</v>
      </c>
      <c r="O81" s="3" t="n">
        <f aca="false">IF(N81="","",_xlfn.XLOOKUP(TRIM(N81),Metallic_Radius_Table!A:A,Metallic_Radius_Table!B:B))</f>
        <v>1.26</v>
      </c>
      <c r="P81" s="0" t="str">
        <f aca="false">TRIM(MID(C81,FIND(",",C81)+1,5))</f>
        <v>Ta</v>
      </c>
      <c r="Q81" s="0" t="n">
        <f aca="false">IF(P81="","",_xlfn.XLOOKUP(TRIM(P81),Metallic_Radius_Table!A:A,Metallic_Radius_Table!B:B))</f>
        <v>1.46</v>
      </c>
      <c r="R81" s="0" t="str">
        <f aca="false">IF(G81&gt;=1,   "Ferromagnetic / Ferrimagnetic",   IF(G81&gt;=0.05,      "Paramagnetic / Weakly magnetic",      "Antiferromagnetic / Diamagnetic"))</f>
        <v>Antiferromagnetic / Diamagnetic</v>
      </c>
      <c r="U81" s="0" t="str">
        <f aca="false">IF(G81&gt;=1,
   "FM → PM (Curie-type)",
   IF(G81&lt;0.05,
      "AFM → PM (Néel-type)",
      "No long-range magnetic transition"))</f>
        <v>AFM → PM (Néel-type)</v>
      </c>
    </row>
    <row r="82" customFormat="false" ht="13.8" hidden="false" customHeight="false" outlineLevel="0" collapsed="false">
      <c r="A82" s="0" t="s">
        <v>229</v>
      </c>
      <c r="B82" s="0" t="s">
        <v>230</v>
      </c>
      <c r="C82" s="0" t="s">
        <v>231</v>
      </c>
      <c r="D82" s="0" t="n">
        <v>-3.04905246552643</v>
      </c>
      <c r="E82" s="0" t="n">
        <v>0.028530789916667</v>
      </c>
      <c r="F82" s="0" t="n">
        <v>0</v>
      </c>
      <c r="G82" s="0" t="n">
        <v>4.0000375</v>
      </c>
      <c r="H82" s="0" t="s">
        <v>22</v>
      </c>
      <c r="I82" s="2" t="b">
        <f aca="false">TRUE()</f>
        <v>1</v>
      </c>
      <c r="J82" s="0" t="str">
        <f aca="false">IF(AND(CODE(MID(B82,2,1))&gt;=97,CODE(MID(B82,2,1))&lt;=122),LEFT(B82,2),LEFT(B82,1))</f>
        <v>Ba</v>
      </c>
      <c r="K82" s="0" t="n">
        <f aca="false">IF(J82="","",_xlfn.XLOOKUP(TRIM(J82),Metallic_Radius_Table!A:A,Metallic_Radius_Table!B:B))</f>
        <v>2.17</v>
      </c>
      <c r="L82" s="0" t="str">
        <f aca="false">IF(ISNUMBER(SEARCH("La",B82)),"La",
 IF(ISNUMBER(SEARCH("Nd",B82)),"Nd",
 IF(ISNUMBER(SEARCH("Eu",B82)),"Eu",
 IF(ISNUMBER(SEARCH("Gd",B82)),"Gd",""))))</f>
        <v/>
      </c>
      <c r="M82" s="0" t="str">
        <f aca="false">IF(L82="","",_xlfn.XLOOKUP(TRIM(L82),Metallic_Radius_Table!A:A,Metallic_Radius_Table!B:B))</f>
        <v/>
      </c>
      <c r="N82" s="0" t="str">
        <f aca="false">TRIM(LEFT(C82,FIND(",",C82)-1))</f>
        <v>Ta</v>
      </c>
      <c r="O82" s="3" t="n">
        <f aca="false">IF(N82="","",_xlfn.XLOOKUP(TRIM(N82),Metallic_Radius_Table!A:A,Metallic_Radius_Table!B:B))</f>
        <v>1.46</v>
      </c>
      <c r="P82" s="0" t="str">
        <f aca="false">TRIM(MID(C82,FIND(",",C82)+1,5))</f>
        <v>Mn</v>
      </c>
      <c r="Q82" s="0" t="n">
        <f aca="false">IF(P82="","",_xlfn.XLOOKUP(TRIM(P82),Metallic_Radius_Table!A:A,Metallic_Radius_Table!B:B))</f>
        <v>1.27</v>
      </c>
      <c r="R82" s="0" t="str">
        <f aca="false">IF(G82&gt;=1,   "Ferromagnetic / Ferrimagnetic",   IF(G82&gt;=0.05,      "Paramagnetic / Weakly magnetic",      "Antiferromagnetic / Diamagnetic"))</f>
        <v>Ferromagnetic / Ferrimagnetic</v>
      </c>
      <c r="U82" s="0" t="str">
        <f aca="false">IF(G82&gt;=1,
   "FM → PM (Curie-type)",
   IF(G82&lt;0.05,
      "AFM → PM (Néel-type)",
      "No long-range magnetic transition"))</f>
        <v>FM → PM (Curie-type)</v>
      </c>
    </row>
    <row r="83" customFormat="false" ht="13.8" hidden="false" customHeight="false" outlineLevel="0" collapsed="false">
      <c r="A83" s="0" t="s">
        <v>232</v>
      </c>
      <c r="B83" s="0" t="s">
        <v>230</v>
      </c>
      <c r="C83" s="0" t="s">
        <v>231</v>
      </c>
      <c r="D83" s="0" t="n">
        <v>-3.07083603552643</v>
      </c>
      <c r="E83" s="0" t="n">
        <v>0.006747219916666</v>
      </c>
      <c r="F83" s="0" t="n">
        <v>1.18229999999999</v>
      </c>
      <c r="G83" s="0" t="n">
        <v>16.0003823</v>
      </c>
      <c r="H83" s="0" t="s">
        <v>66</v>
      </c>
      <c r="I83" s="2" t="b">
        <f aca="false">TRUE()</f>
        <v>1</v>
      </c>
      <c r="J83" s="0" t="str">
        <f aca="false">IF(AND(CODE(MID(B83,2,1))&gt;=97,CODE(MID(B83,2,1))&lt;=122),LEFT(B83,2),LEFT(B83,1))</f>
        <v>Ba</v>
      </c>
      <c r="K83" s="0" t="n">
        <f aca="false">IF(J83="","",_xlfn.XLOOKUP(TRIM(J83),Metallic_Radius_Table!A:A,Metallic_Radius_Table!B:B))</f>
        <v>2.17</v>
      </c>
      <c r="L83" s="0" t="str">
        <f aca="false">IF(ISNUMBER(SEARCH("La",B83)),"La",
 IF(ISNUMBER(SEARCH("Nd",B83)),"Nd",
 IF(ISNUMBER(SEARCH("Eu",B83)),"Eu",
 IF(ISNUMBER(SEARCH("Gd",B83)),"Gd",""))))</f>
        <v/>
      </c>
      <c r="M83" s="0" t="str">
        <f aca="false">IF(L83="","",_xlfn.XLOOKUP(TRIM(L83),Metallic_Radius_Table!A:A,Metallic_Radius_Table!B:B))</f>
        <v/>
      </c>
      <c r="N83" s="0" t="str">
        <f aca="false">TRIM(LEFT(C83,FIND(",",C83)-1))</f>
        <v>Ta</v>
      </c>
      <c r="O83" s="3" t="n">
        <f aca="false">IF(N83="","",_xlfn.XLOOKUP(TRIM(N83),Metallic_Radius_Table!A:A,Metallic_Radius_Table!B:B))</f>
        <v>1.46</v>
      </c>
      <c r="P83" s="0" t="str">
        <f aca="false">TRIM(MID(C83,FIND(",",C83)+1,5))</f>
        <v>Mn</v>
      </c>
      <c r="Q83" s="0" t="n">
        <f aca="false">IF(P83="","",_xlfn.XLOOKUP(TRIM(P83),Metallic_Radius_Table!A:A,Metallic_Radius_Table!B:B))</f>
        <v>1.27</v>
      </c>
      <c r="R83" s="0" t="str">
        <f aca="false">IF(G83&gt;=1,   "Ferromagnetic / Ferrimagnetic",   IF(G83&gt;=0.05,      "Paramagnetic / Weakly magnetic",      "Antiferromagnetic / Diamagnetic"))</f>
        <v>Ferromagnetic / Ferrimagnetic</v>
      </c>
      <c r="U83" s="0" t="str">
        <f aca="false">IF(G83&gt;=1,
   "FM → PM (Curie-type)",
   IF(G83&lt;0.05,
      "AFM → PM (Néel-type)",
      "No long-range magnetic transition"))</f>
        <v>FM → PM (Curie-type)</v>
      </c>
    </row>
    <row r="84" customFormat="false" ht="13.8" hidden="false" customHeight="false" outlineLevel="0" collapsed="false">
      <c r="A84" s="0" t="s">
        <v>233</v>
      </c>
      <c r="B84" s="0" t="s">
        <v>230</v>
      </c>
      <c r="C84" s="0" t="s">
        <v>231</v>
      </c>
      <c r="D84" s="0" t="n">
        <v>-3.06990704402643</v>
      </c>
      <c r="E84" s="0" t="n">
        <v>0.007676211416667</v>
      </c>
      <c r="F84" s="0" t="n">
        <v>1.1315</v>
      </c>
      <c r="G84" s="0" t="n">
        <v>16.0004006</v>
      </c>
      <c r="H84" s="0" t="s">
        <v>58</v>
      </c>
      <c r="I84" s="2" t="b">
        <f aca="false">TRUE()</f>
        <v>1</v>
      </c>
      <c r="J84" s="0" t="str">
        <f aca="false">IF(AND(CODE(MID(B84,2,1))&gt;=97,CODE(MID(B84,2,1))&lt;=122),LEFT(B84,2),LEFT(B84,1))</f>
        <v>Ba</v>
      </c>
      <c r="K84" s="0" t="n">
        <f aca="false">IF(J84="","",_xlfn.XLOOKUP(TRIM(J84),Metallic_Radius_Table!A:A,Metallic_Radius_Table!B:B))</f>
        <v>2.17</v>
      </c>
      <c r="L84" s="0" t="str">
        <f aca="false">IF(ISNUMBER(SEARCH("La",B84)),"La",
 IF(ISNUMBER(SEARCH("Nd",B84)),"Nd",
 IF(ISNUMBER(SEARCH("Eu",B84)),"Eu",
 IF(ISNUMBER(SEARCH("Gd",B84)),"Gd",""))))</f>
        <v/>
      </c>
      <c r="M84" s="0" t="str">
        <f aca="false">IF(L84="","",_xlfn.XLOOKUP(TRIM(L84),Metallic_Radius_Table!A:A,Metallic_Radius_Table!B:B))</f>
        <v/>
      </c>
      <c r="N84" s="0" t="str">
        <f aca="false">TRIM(LEFT(C84,FIND(",",C84)-1))</f>
        <v>Ta</v>
      </c>
      <c r="O84" s="3" t="n">
        <f aca="false">IF(N84="","",_xlfn.XLOOKUP(TRIM(N84),Metallic_Radius_Table!A:A,Metallic_Radius_Table!B:B))</f>
        <v>1.46</v>
      </c>
      <c r="P84" s="0" t="str">
        <f aca="false">TRIM(MID(C84,FIND(",",C84)+1,5))</f>
        <v>Mn</v>
      </c>
      <c r="Q84" s="0" t="n">
        <f aca="false">IF(P84="","",_xlfn.XLOOKUP(TRIM(P84),Metallic_Radius_Table!A:A,Metallic_Radius_Table!B:B))</f>
        <v>1.27</v>
      </c>
      <c r="R84" s="0" t="str">
        <f aca="false">IF(G84&gt;=1,   "Ferromagnetic / Ferrimagnetic",   IF(G84&gt;=0.05,      "Paramagnetic / Weakly magnetic",      "Antiferromagnetic / Diamagnetic"))</f>
        <v>Ferromagnetic / Ferrimagnetic</v>
      </c>
      <c r="U84" s="0" t="str">
        <f aca="false">IF(G84&gt;=1,
   "FM → PM (Curie-type)",
   IF(G84&lt;0.05,
      "AFM → PM (Néel-type)",
      "No long-range magnetic transition"))</f>
        <v>FM → PM (Curie-type)</v>
      </c>
    </row>
    <row r="85" customFormat="false" ht="13.8" hidden="false" customHeight="false" outlineLevel="0" collapsed="false">
      <c r="A85" s="0" t="s">
        <v>234</v>
      </c>
      <c r="B85" s="0" t="s">
        <v>230</v>
      </c>
      <c r="C85" s="0" t="s">
        <v>231</v>
      </c>
      <c r="D85" s="0" t="n">
        <v>-3.07142502102643</v>
      </c>
      <c r="E85" s="0" t="n">
        <v>0.006158234416668</v>
      </c>
      <c r="F85" s="0" t="n">
        <v>1.1694</v>
      </c>
      <c r="G85" s="4" t="n">
        <v>8.5E-006</v>
      </c>
      <c r="H85" s="0" t="s">
        <v>24</v>
      </c>
      <c r="I85" s="2" t="b">
        <f aca="false">TRUE()</f>
        <v>1</v>
      </c>
      <c r="J85" s="0" t="str">
        <f aca="false">IF(AND(CODE(MID(B85,2,1))&gt;=97,CODE(MID(B85,2,1))&lt;=122),LEFT(B85,2),LEFT(B85,1))</f>
        <v>Ba</v>
      </c>
      <c r="K85" s="0" t="n">
        <f aca="false">IF(J85="","",_xlfn.XLOOKUP(TRIM(J85),Metallic_Radius_Table!A:A,Metallic_Radius_Table!B:B))</f>
        <v>2.17</v>
      </c>
      <c r="L85" s="0" t="str">
        <f aca="false">IF(ISNUMBER(SEARCH("La",B85)),"La",
 IF(ISNUMBER(SEARCH("Nd",B85)),"Nd",
 IF(ISNUMBER(SEARCH("Eu",B85)),"Eu",
 IF(ISNUMBER(SEARCH("Gd",B85)),"Gd",""))))</f>
        <v/>
      </c>
      <c r="M85" s="0" t="str">
        <f aca="false">IF(L85="","",_xlfn.XLOOKUP(TRIM(L85),Metallic_Radius_Table!A:A,Metallic_Radius_Table!B:B))</f>
        <v/>
      </c>
      <c r="N85" s="0" t="str">
        <f aca="false">TRIM(LEFT(C85,FIND(",",C85)-1))</f>
        <v>Ta</v>
      </c>
      <c r="O85" s="3" t="n">
        <f aca="false">IF(N85="","",_xlfn.XLOOKUP(TRIM(N85),Metallic_Radius_Table!A:A,Metallic_Radius_Table!B:B))</f>
        <v>1.46</v>
      </c>
      <c r="P85" s="0" t="str">
        <f aca="false">TRIM(MID(C85,FIND(",",C85)+1,5))</f>
        <v>Mn</v>
      </c>
      <c r="Q85" s="0" t="n">
        <f aca="false">IF(P85="","",_xlfn.XLOOKUP(TRIM(P85),Metallic_Radius_Table!A:A,Metallic_Radius_Table!B:B))</f>
        <v>1.27</v>
      </c>
      <c r="R85" s="0" t="str">
        <f aca="false">IF(G85&gt;=1,   "Ferromagnetic / Ferrimagnetic",   IF(G85&gt;=0.05,      "Paramagnetic / Weakly magnetic",      "Antiferromagnetic / Diamagnetic"))</f>
        <v>Antiferromagnetic / Diamagnetic</v>
      </c>
      <c r="U85" s="0" t="str">
        <f aca="false">IF(G85&gt;=1,
   "FM → PM (Curie-type)",
   IF(G85&lt;0.05,
      "AFM → PM (Néel-type)",
      "No long-range magnetic transition"))</f>
        <v>AFM → PM (Néel-type)</v>
      </c>
    </row>
    <row r="86" customFormat="false" ht="13.8" hidden="false" customHeight="false" outlineLevel="0" collapsed="false">
      <c r="A86" s="0" t="s">
        <v>235</v>
      </c>
      <c r="B86" s="0" t="s">
        <v>236</v>
      </c>
      <c r="C86" s="0" t="s">
        <v>180</v>
      </c>
      <c r="D86" s="0" t="n">
        <v>-2.816929195</v>
      </c>
      <c r="E86" s="0" t="n">
        <v>0.015144188583332</v>
      </c>
      <c r="F86" s="0" t="n">
        <v>0</v>
      </c>
      <c r="G86" s="0" t="n">
        <v>12.0139767</v>
      </c>
      <c r="H86" s="0" t="s">
        <v>32</v>
      </c>
      <c r="I86" s="2" t="b">
        <f aca="false">TRUE()</f>
        <v>1</v>
      </c>
      <c r="J86" s="0" t="str">
        <f aca="false">IF(AND(CODE(MID(B86,2,1))&gt;=97,CODE(MID(B86,2,1))&lt;=122),LEFT(B86,2),LEFT(B86,1))</f>
        <v>Ba</v>
      </c>
      <c r="K86" s="0" t="n">
        <f aca="false">IF(J86="","",_xlfn.XLOOKUP(TRIM(J86),Metallic_Radius_Table!A:A,Metallic_Radius_Table!B:B))</f>
        <v>2.17</v>
      </c>
      <c r="L86" s="0" t="str">
        <f aca="false">IF(ISNUMBER(SEARCH("La",B86)),"La",
 IF(ISNUMBER(SEARCH("Nd",B86)),"Nd",
 IF(ISNUMBER(SEARCH("Eu",B86)),"Eu",
 IF(ISNUMBER(SEARCH("Gd",B86)),"Gd",""))))</f>
        <v/>
      </c>
      <c r="M86" s="0" t="str">
        <f aca="false">IF(L86="","",_xlfn.XLOOKUP(TRIM(L86),Metallic_Radius_Table!A:A,Metallic_Radius_Table!B:B))</f>
        <v/>
      </c>
      <c r="N86" s="0" t="str">
        <f aca="false">TRIM(LEFT(C86,FIND(",",C86)-1))</f>
        <v>Fe</v>
      </c>
      <c r="O86" s="3" t="n">
        <f aca="false">IF(N86="","",_xlfn.XLOOKUP(TRIM(N86),Metallic_Radius_Table!A:A,Metallic_Radius_Table!B:B))</f>
        <v>1.26</v>
      </c>
      <c r="P86" s="0" t="str">
        <f aca="false">TRIM(MID(C86,FIND(",",C86)+1,5))</f>
        <v>Ti</v>
      </c>
      <c r="Q86" s="0" t="n">
        <f aca="false">IF(P86="","",_xlfn.XLOOKUP(TRIM(P86),Metallic_Radius_Table!A:A,Metallic_Radius_Table!B:B))</f>
        <v>1.47</v>
      </c>
      <c r="R86" s="0" t="str">
        <f aca="false">IF(G86&gt;=1,   "Ferromagnetic / Ferrimagnetic",   IF(G86&gt;=0.05,      "Paramagnetic / Weakly magnetic",      "Antiferromagnetic / Diamagnetic"))</f>
        <v>Ferromagnetic / Ferrimagnetic</v>
      </c>
      <c r="U86" s="0" t="str">
        <f aca="false">IF(G86&gt;=1,
   "FM → PM (Curie-type)",
   IF(G86&lt;0.05,
      "AFM → PM (Néel-type)",
      "No long-range magnetic transition"))</f>
        <v>FM → PM (Curie-type)</v>
      </c>
    </row>
    <row r="87" customFormat="false" ht="13.8" hidden="false" customHeight="false" outlineLevel="0" collapsed="false">
      <c r="A87" s="0" t="s">
        <v>237</v>
      </c>
      <c r="B87" s="0" t="s">
        <v>238</v>
      </c>
      <c r="C87" s="0" t="s">
        <v>202</v>
      </c>
      <c r="D87" s="0" t="n">
        <v>-2.97172770237643</v>
      </c>
      <c r="E87" s="0" t="n">
        <v>0.019383723583304</v>
      </c>
      <c r="F87" s="0" t="n">
        <v>1.15879999999999</v>
      </c>
      <c r="G87" s="0" t="n">
        <v>0.000225799999999</v>
      </c>
      <c r="H87" s="0" t="s">
        <v>28</v>
      </c>
      <c r="I87" s="2" t="b">
        <f aca="false">TRUE()</f>
        <v>1</v>
      </c>
      <c r="J87" s="0" t="str">
        <f aca="false">IF(AND(CODE(MID(B87,2,1))&gt;=97,CODE(MID(B87,2,1))&lt;=122),LEFT(B87,2),LEFT(B87,1))</f>
        <v>Ba</v>
      </c>
      <c r="K87" s="0" t="n">
        <f aca="false">IF(J87="","",_xlfn.XLOOKUP(TRIM(J87),Metallic_Radius_Table!A:A,Metallic_Radius_Table!B:B))</f>
        <v>2.17</v>
      </c>
      <c r="L87" s="0" t="str">
        <f aca="false">IF(ISNUMBER(SEARCH("La",B87)),"La",
 IF(ISNUMBER(SEARCH("Nd",B87)),"Nd",
 IF(ISNUMBER(SEARCH("Eu",B87)),"Eu",
 IF(ISNUMBER(SEARCH("Gd",B87)),"Gd",""))))</f>
        <v/>
      </c>
      <c r="M87" s="0" t="str">
        <f aca="false">IF(L87="","",_xlfn.XLOOKUP(TRIM(L87),Metallic_Radius_Table!A:A,Metallic_Radius_Table!B:B))</f>
        <v/>
      </c>
      <c r="N87" s="0" t="str">
        <f aca="false">TRIM(LEFT(C87,FIND(",",C87)-1))</f>
        <v>Mn</v>
      </c>
      <c r="O87" s="3" t="n">
        <f aca="false">IF(N87="","",_xlfn.XLOOKUP(TRIM(N87),Metallic_Radius_Table!A:A,Metallic_Radius_Table!B:B))</f>
        <v>1.27</v>
      </c>
      <c r="P87" s="0" t="str">
        <f aca="false">TRIM(MID(C87,FIND(",",C87)+1,5))</f>
        <v>Ti</v>
      </c>
      <c r="Q87" s="0" t="n">
        <f aca="false">IF(P87="","",_xlfn.XLOOKUP(TRIM(P87),Metallic_Radius_Table!A:A,Metallic_Radius_Table!B:B))</f>
        <v>1.47</v>
      </c>
      <c r="R87" s="0" t="str">
        <f aca="false">IF(G87&gt;=1,   "Ferromagnetic / Ferrimagnetic",   IF(G87&gt;=0.05,      "Paramagnetic / Weakly magnetic",      "Antiferromagnetic / Diamagnetic"))</f>
        <v>Antiferromagnetic / Diamagnetic</v>
      </c>
      <c r="U87" s="0" t="str">
        <f aca="false">IF(G87&gt;=1,
   "FM → PM (Curie-type)",
   IF(G87&lt;0.05,
      "AFM → PM (Néel-type)",
      "No long-range magnetic transition"))</f>
        <v>AFM → PM (Néel-type)</v>
      </c>
    </row>
    <row r="88" customFormat="false" ht="13.8" hidden="false" customHeight="false" outlineLevel="0" collapsed="false">
      <c r="A88" s="0" t="s">
        <v>239</v>
      </c>
      <c r="B88" s="0" t="s">
        <v>240</v>
      </c>
      <c r="C88" s="0" t="s">
        <v>241</v>
      </c>
      <c r="D88" s="0" t="n">
        <v>-2.592685414</v>
      </c>
      <c r="E88" s="0" t="n">
        <v>0.10079025249999</v>
      </c>
      <c r="F88" s="0" t="n">
        <v>1.0389</v>
      </c>
      <c r="G88" s="0" t="n">
        <v>4.9977207</v>
      </c>
      <c r="H88" s="0" t="s">
        <v>22</v>
      </c>
      <c r="I88" s="2" t="b">
        <f aca="false">TRUE()</f>
        <v>1</v>
      </c>
      <c r="J88" s="0" t="str">
        <f aca="false">IF(AND(CODE(MID(B88,2,1))&gt;=97,CODE(MID(B88,2,1))&lt;=122),LEFT(B88,2),LEFT(B88,1))</f>
        <v>Ba</v>
      </c>
      <c r="K88" s="0" t="n">
        <f aca="false">IF(J88="","",_xlfn.XLOOKUP(TRIM(J88),Metallic_Radius_Table!A:A,Metallic_Radius_Table!B:B))</f>
        <v>2.17</v>
      </c>
      <c r="L88" s="0" t="str">
        <f aca="false">IF(ISNUMBER(SEARCH("La",B88)),"La",
 IF(ISNUMBER(SEARCH("Nd",B88)),"Nd",
 IF(ISNUMBER(SEARCH("Eu",B88)),"Eu",
 IF(ISNUMBER(SEARCH("Gd",B88)),"Gd",""))))</f>
        <v/>
      </c>
      <c r="M88" s="0" t="str">
        <f aca="false">IF(L88="","",_xlfn.XLOOKUP(TRIM(L88),Metallic_Radius_Table!A:A,Metallic_Radius_Table!B:B))</f>
        <v/>
      </c>
      <c r="N88" s="0" t="str">
        <f aca="false">TRIM(LEFT(C88,FIND(",",C88)-1))</f>
        <v>Fe</v>
      </c>
      <c r="O88" s="3" t="n">
        <f aca="false">IF(N88="","",_xlfn.XLOOKUP(TRIM(N88),Metallic_Radius_Table!A:A,Metallic_Radius_Table!B:B))</f>
        <v>1.26</v>
      </c>
      <c r="P88" s="0" t="str">
        <f aca="false">TRIM(MID(C88,FIND(",",C88)+1,5))</f>
        <v>V</v>
      </c>
      <c r="Q88" s="0" t="n">
        <f aca="false">IF(P88="","",_xlfn.XLOOKUP(TRIM(P88),Metallic_Radius_Table!A:A,Metallic_Radius_Table!B:B))</f>
        <v>1.34</v>
      </c>
      <c r="R88" s="0" t="str">
        <f aca="false">IF(G88&gt;=1,   "Ferromagnetic / Ferrimagnetic",   IF(G88&gt;=0.05,      "Paramagnetic / Weakly magnetic",      "Antiferromagnetic / Diamagnetic"))</f>
        <v>Ferromagnetic / Ferrimagnetic</v>
      </c>
      <c r="U88" s="0" t="str">
        <f aca="false">IF(G88&gt;=1,
   "FM → PM (Curie-type)",
   IF(G88&lt;0.05,
      "AFM → PM (Néel-type)",
      "No long-range magnetic transition"))</f>
        <v>FM → PM (Curie-type)</v>
      </c>
    </row>
    <row r="89" customFormat="false" ht="13.8" hidden="false" customHeight="false" outlineLevel="0" collapsed="false">
      <c r="A89" s="0" t="s">
        <v>242</v>
      </c>
      <c r="B89" s="0" t="s">
        <v>240</v>
      </c>
      <c r="C89" s="0" t="s">
        <v>241</v>
      </c>
      <c r="D89" s="0" t="n">
        <v>-2.568807841</v>
      </c>
      <c r="E89" s="0" t="n">
        <v>0.12466782549999</v>
      </c>
      <c r="F89" s="0" t="n">
        <v>0.6837</v>
      </c>
      <c r="G89" s="0" t="n">
        <v>19.9996996</v>
      </c>
      <c r="H89" s="0" t="s">
        <v>86</v>
      </c>
      <c r="I89" s="2" t="b">
        <f aca="false">TRUE()</f>
        <v>1</v>
      </c>
      <c r="J89" s="0" t="str">
        <f aca="false">IF(AND(CODE(MID(B89,2,1))&gt;=97,CODE(MID(B89,2,1))&lt;=122),LEFT(B89,2),LEFT(B89,1))</f>
        <v>Ba</v>
      </c>
      <c r="K89" s="0" t="n">
        <f aca="false">IF(J89="","",_xlfn.XLOOKUP(TRIM(J89),Metallic_Radius_Table!A:A,Metallic_Radius_Table!B:B))</f>
        <v>2.17</v>
      </c>
      <c r="L89" s="0" t="str">
        <f aca="false">IF(ISNUMBER(SEARCH("La",B89)),"La",
 IF(ISNUMBER(SEARCH("Nd",B89)),"Nd",
 IF(ISNUMBER(SEARCH("Eu",B89)),"Eu",
 IF(ISNUMBER(SEARCH("Gd",B89)),"Gd",""))))</f>
        <v/>
      </c>
      <c r="M89" s="0" t="str">
        <f aca="false">IF(L89="","",_xlfn.XLOOKUP(TRIM(L89),Metallic_Radius_Table!A:A,Metallic_Radius_Table!B:B))</f>
        <v/>
      </c>
      <c r="N89" s="0" t="str">
        <f aca="false">TRIM(LEFT(C89,FIND(",",C89)-1))</f>
        <v>Fe</v>
      </c>
      <c r="O89" s="3" t="n">
        <f aca="false">IF(N89="","",_xlfn.XLOOKUP(TRIM(N89),Metallic_Radius_Table!A:A,Metallic_Radius_Table!B:B))</f>
        <v>1.26</v>
      </c>
      <c r="P89" s="0" t="str">
        <f aca="false">TRIM(MID(C89,FIND(",",C89)+1,5))</f>
        <v>V</v>
      </c>
      <c r="Q89" s="0" t="n">
        <f aca="false">IF(P89="","",_xlfn.XLOOKUP(TRIM(P89),Metallic_Radius_Table!A:A,Metallic_Radius_Table!B:B))</f>
        <v>1.34</v>
      </c>
      <c r="R89" s="0" t="str">
        <f aca="false">IF(G89&gt;=1,   "Ferromagnetic / Ferrimagnetic",   IF(G89&gt;=0.05,      "Paramagnetic / Weakly magnetic",      "Antiferromagnetic / Diamagnetic"))</f>
        <v>Ferromagnetic / Ferrimagnetic</v>
      </c>
      <c r="U89" s="0" t="str">
        <f aca="false">IF(G89&gt;=1,
   "FM → PM (Curie-type)",
   IF(G89&lt;0.05,
      "AFM → PM (Néel-type)",
      "No long-range magnetic transition"))</f>
        <v>FM → PM (Curie-type)</v>
      </c>
    </row>
    <row r="90" customFormat="false" ht="13.8" hidden="false" customHeight="false" outlineLevel="0" collapsed="false">
      <c r="A90" s="0" t="s">
        <v>243</v>
      </c>
      <c r="B90" s="0" t="s">
        <v>244</v>
      </c>
      <c r="C90" s="0" t="s">
        <v>245</v>
      </c>
      <c r="D90" s="0" t="n">
        <v>-2.6755853955</v>
      </c>
      <c r="E90" s="0" t="n">
        <v>0.083071706249999</v>
      </c>
      <c r="F90" s="0" t="n">
        <v>0.400299999999999</v>
      </c>
      <c r="G90" s="4" t="n">
        <v>8E-007</v>
      </c>
      <c r="H90" s="0" t="s">
        <v>22</v>
      </c>
      <c r="I90" s="2" t="b">
        <f aca="false">TRUE()</f>
        <v>1</v>
      </c>
      <c r="J90" s="0" t="str">
        <f aca="false">IF(AND(CODE(MID(B90,2,1))&gt;=97,CODE(MID(B90,2,1))&lt;=122),LEFT(B90,2),LEFT(B90,1))</f>
        <v>Ba</v>
      </c>
      <c r="K90" s="0" t="n">
        <f aca="false">IF(J90="","",_xlfn.XLOOKUP(TRIM(J90),Metallic_Radius_Table!A:A,Metallic_Radius_Table!B:B))</f>
        <v>2.17</v>
      </c>
      <c r="L90" s="0" t="str">
        <f aca="false">IF(ISNUMBER(SEARCH("La",B90)),"La",
 IF(ISNUMBER(SEARCH("Nd",B90)),"Nd",
 IF(ISNUMBER(SEARCH("Eu",B90)),"Eu",
 IF(ISNUMBER(SEARCH("Gd",B90)),"Gd",""))))</f>
        <v/>
      </c>
      <c r="M90" s="0" t="str">
        <f aca="false">IF(L90="","",_xlfn.XLOOKUP(TRIM(L90),Metallic_Radius_Table!A:A,Metallic_Radius_Table!B:B))</f>
        <v/>
      </c>
      <c r="N90" s="0" t="str">
        <f aca="false">TRIM(LEFT(C90,FIND(",",C90)-1))</f>
        <v>V</v>
      </c>
      <c r="O90" s="3" t="n">
        <f aca="false">IF(N90="","",_xlfn.XLOOKUP(TRIM(N90),Metallic_Radius_Table!A:A,Metallic_Radius_Table!B:B))</f>
        <v>1.34</v>
      </c>
      <c r="P90" s="0" t="str">
        <f aca="false">TRIM(MID(C90,FIND(",",C90)+1,5))</f>
        <v>Mo</v>
      </c>
      <c r="Q90" s="0" t="n">
        <f aca="false">IF(P90="","",_xlfn.XLOOKUP(TRIM(P90),Metallic_Radius_Table!A:A,Metallic_Radius_Table!B:B))</f>
        <v>1.39</v>
      </c>
      <c r="R90" s="0" t="str">
        <f aca="false">IF(G90&gt;=1,   "Ferromagnetic / Ferrimagnetic",   IF(G90&gt;=0.05,      "Paramagnetic / Weakly magnetic",      "Antiferromagnetic / Diamagnetic"))</f>
        <v>Antiferromagnetic / Diamagnetic</v>
      </c>
      <c r="U90" s="0" t="str">
        <f aca="false">IF(G90&gt;=1,
   "FM → PM (Curie-type)",
   IF(G90&lt;0.05,
      "AFM → PM (Néel-type)",
      "No long-range magnetic transition"))</f>
        <v>AFM → PM (Néel-type)</v>
      </c>
    </row>
    <row r="91" customFormat="false" ht="13.8" hidden="false" customHeight="false" outlineLevel="0" collapsed="false">
      <c r="A91" s="0" t="s">
        <v>246</v>
      </c>
      <c r="B91" s="0" t="s">
        <v>247</v>
      </c>
      <c r="C91" s="0" t="s">
        <v>248</v>
      </c>
      <c r="D91" s="0" t="n">
        <v>-2.76159472999999</v>
      </c>
      <c r="E91" s="0" t="n">
        <v>0</v>
      </c>
      <c r="F91" s="0" t="n">
        <v>0</v>
      </c>
      <c r="G91" s="0" t="n">
        <v>2</v>
      </c>
      <c r="H91" s="0" t="s">
        <v>22</v>
      </c>
      <c r="I91" s="2" t="b">
        <f aca="false">TRUE()</f>
        <v>1</v>
      </c>
      <c r="J91" s="0" t="str">
        <f aca="false">IF(AND(CODE(MID(B91,2,1))&gt;=97,CODE(MID(B91,2,1))&lt;=122),LEFT(B91,2),LEFT(B91,1))</f>
        <v>Ba</v>
      </c>
      <c r="K91" s="0" t="n">
        <f aca="false">IF(J91="","",_xlfn.XLOOKUP(TRIM(J91),Metallic_Radius_Table!A:A,Metallic_Radius_Table!B:B))</f>
        <v>2.17</v>
      </c>
      <c r="L91" s="0" t="str">
        <f aca="false">IF(ISNUMBER(SEARCH("La",B91)),"La",
 IF(ISNUMBER(SEARCH("Nd",B91)),"Nd",
 IF(ISNUMBER(SEARCH("Eu",B91)),"Eu",
 IF(ISNUMBER(SEARCH("Gd",B91)),"Gd",""))))</f>
        <v/>
      </c>
      <c r="M91" s="0" t="str">
        <f aca="false">IF(L91="","",_xlfn.XLOOKUP(TRIM(L91),Metallic_Radius_Table!A:A,Metallic_Radius_Table!B:B))</f>
        <v/>
      </c>
      <c r="N91" s="0" t="str">
        <f aca="false">TRIM(LEFT(C91,FIND(",",C91)-1))</f>
        <v>Ir</v>
      </c>
      <c r="O91" s="3" t="n">
        <f aca="false">IF(N91="","",_xlfn.XLOOKUP(TRIM(N91),Metallic_Radius_Table!A:A,Metallic_Radius_Table!B:B))</f>
        <v>1.36</v>
      </c>
      <c r="P91" s="0" t="str">
        <f aca="false">TRIM(MID(C91,FIND(",",C91)+1,5))</f>
        <v>Y</v>
      </c>
      <c r="Q91" s="0" t="n">
        <f aca="false">IF(P91="","",_xlfn.XLOOKUP(TRIM(P91),Metallic_Radius_Table!A:A,Metallic_Radius_Table!B:B))</f>
        <v>1.8</v>
      </c>
      <c r="R91" s="0" t="str">
        <f aca="false">IF(G91&gt;=1,   "Ferromagnetic / Ferrimagnetic",   IF(G91&gt;=0.05,      "Paramagnetic / Weakly magnetic",      "Antiferromagnetic / Diamagnetic"))</f>
        <v>Ferromagnetic / Ferrimagnetic</v>
      </c>
      <c r="U91" s="0" t="str">
        <f aca="false">IF(G91&gt;=1,
   "FM → PM (Curie-type)",
   IF(G91&lt;0.05,
      "AFM → PM (Néel-type)",
      "No long-range magnetic transition"))</f>
        <v>FM → PM (Curie-type)</v>
      </c>
    </row>
    <row r="92" customFormat="false" ht="13.8" hidden="false" customHeight="false" outlineLevel="0" collapsed="false">
      <c r="A92" s="0" t="s">
        <v>249</v>
      </c>
      <c r="B92" s="0" t="s">
        <v>250</v>
      </c>
      <c r="C92" s="0" t="s">
        <v>251</v>
      </c>
      <c r="D92" s="0" t="n">
        <v>-2.831114415</v>
      </c>
      <c r="E92" s="0" t="n">
        <v>0</v>
      </c>
      <c r="F92" s="0" t="n">
        <v>0.0903</v>
      </c>
      <c r="G92" s="0" t="n">
        <v>3.0002985</v>
      </c>
      <c r="H92" s="0" t="s">
        <v>22</v>
      </c>
      <c r="I92" s="2" t="b">
        <f aca="false">TRUE()</f>
        <v>1</v>
      </c>
      <c r="J92" s="0" t="str">
        <f aca="false">IF(AND(CODE(MID(B92,2,1))&gt;=97,CODE(MID(B92,2,1))&lt;=122),LEFT(B92,2),LEFT(B92,1))</f>
        <v>Ba</v>
      </c>
      <c r="K92" s="0" t="n">
        <f aca="false">IF(J92="","",_xlfn.XLOOKUP(TRIM(J92),Metallic_Radius_Table!A:A,Metallic_Radius_Table!B:B))</f>
        <v>2.17</v>
      </c>
      <c r="L92" s="0" t="str">
        <f aca="false">IF(ISNUMBER(SEARCH("La",B92)),"La",
 IF(ISNUMBER(SEARCH("Nd",B92)),"Nd",
 IF(ISNUMBER(SEARCH("Eu",B92)),"Eu",
 IF(ISNUMBER(SEARCH("Gd",B92)),"Gd",""))))</f>
        <v/>
      </c>
      <c r="M92" s="0" t="str">
        <f aca="false">IF(L92="","",_xlfn.XLOOKUP(TRIM(L92),Metallic_Radius_Table!A:A,Metallic_Radius_Table!B:B))</f>
        <v/>
      </c>
      <c r="N92" s="0" t="str">
        <f aca="false">TRIM(LEFT(C92,FIND(",",C92)-1))</f>
        <v>Ru</v>
      </c>
      <c r="O92" s="3" t="n">
        <f aca="false">IF(N92="","",_xlfn.XLOOKUP(TRIM(N92),Metallic_Radius_Table!A:A,Metallic_Radius_Table!B:B))</f>
        <v>1.34</v>
      </c>
      <c r="P92" s="0" t="str">
        <f aca="false">TRIM(MID(C92,FIND(",",C92)+1,5))</f>
        <v>Y</v>
      </c>
      <c r="Q92" s="0" t="n">
        <f aca="false">IF(P92="","",_xlfn.XLOOKUP(TRIM(P92),Metallic_Radius_Table!A:A,Metallic_Radius_Table!B:B))</f>
        <v>1.8</v>
      </c>
      <c r="R92" s="0" t="str">
        <f aca="false">IF(G92&gt;=1,   "Ferromagnetic / Ferrimagnetic",   IF(G92&gt;=0.05,      "Paramagnetic / Weakly magnetic",      "Antiferromagnetic / Diamagnetic"))</f>
        <v>Ferromagnetic / Ferrimagnetic</v>
      </c>
      <c r="U92" s="0" t="str">
        <f aca="false">IF(G92&gt;=1,
   "FM → PM (Curie-type)",
   IF(G92&lt;0.05,
      "AFM → PM (Néel-type)",
      "No long-range magnetic transition"))</f>
        <v>FM → PM (Curie-type)</v>
      </c>
    </row>
    <row r="93" customFormat="false" ht="13.8" hidden="false" customHeight="false" outlineLevel="0" collapsed="false">
      <c r="A93" s="0" t="s">
        <v>252</v>
      </c>
      <c r="B93" s="0" t="s">
        <v>253</v>
      </c>
      <c r="C93" s="0" t="s">
        <v>216</v>
      </c>
      <c r="D93" s="0" t="n">
        <v>-3.56091773233333</v>
      </c>
      <c r="E93" s="0" t="n">
        <v>0.004841601999968</v>
      </c>
      <c r="F93" s="0" t="n">
        <v>2.2161</v>
      </c>
      <c r="G93" s="0" t="n">
        <v>0.0001906</v>
      </c>
      <c r="H93" s="0" t="s">
        <v>22</v>
      </c>
      <c r="I93" s="2" t="b">
        <f aca="false">TRUE()</f>
        <v>1</v>
      </c>
      <c r="J93" s="0" t="str">
        <f aca="false">IF(AND(CODE(MID(B93,2,1))&gt;=97,CODE(MID(B93,2,1))&lt;=122),LEFT(B93,2),LEFT(B93,1))</f>
        <v>Ba</v>
      </c>
      <c r="K93" s="0" t="n">
        <f aca="false">IF(J93="","",_xlfn.XLOOKUP(TRIM(J93),Metallic_Radius_Table!A:A,Metallic_Radius_Table!B:B))</f>
        <v>2.17</v>
      </c>
      <c r="L93" s="0" t="str">
        <f aca="false">IF(ISNUMBER(SEARCH("La",B93)),"La",
 IF(ISNUMBER(SEARCH("Nd",B93)),"Nd",
 IF(ISNUMBER(SEARCH("Eu",B93)),"Eu",
 IF(ISNUMBER(SEARCH("Gd",B93)),"Gd",""))))</f>
        <v/>
      </c>
      <c r="M93" s="0" t="str">
        <f aca="false">IF(L93="","",_xlfn.XLOOKUP(TRIM(L93),Metallic_Radius_Table!A:A,Metallic_Radius_Table!B:B))</f>
        <v/>
      </c>
      <c r="N93" s="0" t="str">
        <f aca="false">TRIM(LEFT(C93,FIND(",",C93)-1))</f>
        <v>Zr</v>
      </c>
      <c r="O93" s="3" t="n">
        <f aca="false">IF(N93="","",_xlfn.XLOOKUP(TRIM(N93),Metallic_Radius_Table!A:A,Metallic_Radius_Table!B:B))</f>
        <v>1.6</v>
      </c>
      <c r="P93" s="0" t="str">
        <f aca="false">TRIM(MID(C93,FIND(",",C93)+1,5))</f>
        <v>Ti</v>
      </c>
      <c r="Q93" s="0" t="n">
        <f aca="false">IF(P93="","",_xlfn.XLOOKUP(TRIM(P93),Metallic_Radius_Table!A:A,Metallic_Radius_Table!B:B))</f>
        <v>1.47</v>
      </c>
      <c r="R93" s="0" t="str">
        <f aca="false">IF(G93&gt;=1,   "Ferromagnetic / Ferrimagnetic",   IF(G93&gt;=0.05,      "Paramagnetic / Weakly magnetic",      "Antiferromagnetic / Diamagnetic"))</f>
        <v>Antiferromagnetic / Diamagnetic</v>
      </c>
      <c r="U93" s="0" t="str">
        <f aca="false">IF(G93&gt;=1,
   "FM → PM (Curie-type)",
   IF(G93&lt;0.05,
      "AFM → PM (Néel-type)",
      "No long-range magnetic transition"))</f>
        <v>AFM → PM (Néel-type)</v>
      </c>
    </row>
    <row r="94" customFormat="false" ht="13.8" hidden="false" customHeight="false" outlineLevel="0" collapsed="false">
      <c r="A94" s="0" t="s">
        <v>254</v>
      </c>
      <c r="B94" s="0" t="s">
        <v>255</v>
      </c>
      <c r="C94" s="0" t="s">
        <v>131</v>
      </c>
      <c r="D94" s="0" t="n">
        <v>-3.054233885</v>
      </c>
      <c r="E94" s="0" t="n">
        <v>0.076474615249987</v>
      </c>
      <c r="F94" s="0" t="n">
        <v>0</v>
      </c>
      <c r="G94" s="0" t="n">
        <v>1.99999939999999</v>
      </c>
      <c r="H94" s="0" t="s">
        <v>22</v>
      </c>
      <c r="I94" s="2" t="b">
        <f aca="false">TRUE()</f>
        <v>1</v>
      </c>
      <c r="J94" s="0" t="str">
        <f aca="false">IF(AND(CODE(MID(B94,2,1))&gt;=97,CODE(MID(B94,2,1))&lt;=122),LEFT(B94,2),LEFT(B94,1))</f>
        <v>Ba</v>
      </c>
      <c r="K94" s="0" t="n">
        <f aca="false">IF(J94="","",_xlfn.XLOOKUP(TRIM(J94),Metallic_Radius_Table!A:A,Metallic_Radius_Table!B:B))</f>
        <v>2.17</v>
      </c>
      <c r="L94" s="0" t="str">
        <f aca="false">IF(ISNUMBER(SEARCH("La",B94)),"La",
 IF(ISNUMBER(SEARCH("Nd",B94)),"Nd",
 IF(ISNUMBER(SEARCH("Eu",B94)),"Eu",
 IF(ISNUMBER(SEARCH("Gd",B94)),"Gd",""))))</f>
        <v/>
      </c>
      <c r="M94" s="0" t="str">
        <f aca="false">IF(L94="","",_xlfn.XLOOKUP(TRIM(L94),Metallic_Radius_Table!A:A,Metallic_Radius_Table!B:B))</f>
        <v/>
      </c>
      <c r="N94" s="0" t="str">
        <f aca="false">TRIM(LEFT(C94,FIND(",",C94)-1))</f>
        <v>Zr</v>
      </c>
      <c r="O94" s="3" t="n">
        <f aca="false">IF(N94="","",_xlfn.XLOOKUP(TRIM(N94),Metallic_Radius_Table!A:A,Metallic_Radius_Table!B:B))</f>
        <v>1.6</v>
      </c>
      <c r="P94" s="0" t="str">
        <f aca="false">TRIM(MID(C94,FIND(",",C94)+1,5))</f>
        <v>W</v>
      </c>
      <c r="Q94" s="0" t="n">
        <f aca="false">IF(P94="","",_xlfn.XLOOKUP(TRIM(P94),Metallic_Radius_Table!A:A,Metallic_Radius_Table!B:B))</f>
        <v>1.41</v>
      </c>
      <c r="R94" s="0" t="str">
        <f aca="false">IF(G94&gt;=1,   "Ferromagnetic / Ferrimagnetic",   IF(G94&gt;=0.05,      "Paramagnetic / Weakly magnetic",      "Antiferromagnetic / Diamagnetic"))</f>
        <v>Ferromagnetic / Ferrimagnetic</v>
      </c>
      <c r="U94" s="0" t="str">
        <f aca="false">IF(G94&gt;=1,
   "FM → PM (Curie-type)",
   IF(G94&lt;0.05,
      "AFM → PM (Néel-type)",
      "No long-range magnetic transition"))</f>
        <v>FM → PM (Curie-type)</v>
      </c>
    </row>
    <row r="95" customFormat="false" ht="13.8" hidden="false" customHeight="false" outlineLevel="0" collapsed="false">
      <c r="A95" s="0" t="s">
        <v>256</v>
      </c>
      <c r="B95" s="0" t="s">
        <v>257</v>
      </c>
      <c r="C95" s="0" t="s">
        <v>114</v>
      </c>
      <c r="D95" s="0" t="n">
        <v>-3.00422916366666</v>
      </c>
      <c r="E95" s="0" t="n">
        <v>0.181525003263892</v>
      </c>
      <c r="F95" s="0" t="n">
        <v>0.536699999999999</v>
      </c>
      <c r="G95" s="0" t="n">
        <v>0</v>
      </c>
      <c r="H95" s="0" t="s">
        <v>111</v>
      </c>
      <c r="I95" s="2" t="b">
        <f aca="false">TRUE()</f>
        <v>1</v>
      </c>
      <c r="J95" s="0" t="str">
        <f aca="false">IF(AND(CODE(MID(B95,2,1))&gt;=97,CODE(MID(B95,2,1))&lt;=122),LEFT(B95,2),LEFT(B95,1))</f>
        <v>Ca</v>
      </c>
      <c r="K95" s="0" t="n">
        <f aca="false">IF(J95="","",_xlfn.XLOOKUP(TRIM(J95),Metallic_Radius_Table!A:A,Metallic_Radius_Table!B:B))</f>
        <v>1.97</v>
      </c>
      <c r="L95" s="0" t="str">
        <f aca="false">IF(ISNUMBER(SEARCH("La",B95)),"La",
 IF(ISNUMBER(SEARCH("Nd",B95)),"Nd",
 IF(ISNUMBER(SEARCH("Eu",B95)),"Eu",
 IF(ISNUMBER(SEARCH("Gd",B95)),"Gd",""))))</f>
        <v/>
      </c>
      <c r="M95" s="0" t="str">
        <f aca="false">IF(L95="","",_xlfn.XLOOKUP(TRIM(L95),Metallic_Radius_Table!A:A,Metallic_Radius_Table!B:B))</f>
        <v/>
      </c>
      <c r="N95" s="0" t="str">
        <f aca="false">TRIM(LEFT(C95,FIND(",",C95)-1))</f>
        <v>Nb</v>
      </c>
      <c r="O95" s="3" t="n">
        <f aca="false">IF(N95="","",_xlfn.XLOOKUP(TRIM(N95),Metallic_Radius_Table!A:A,Metallic_Radius_Table!B:B))</f>
        <v>1.46</v>
      </c>
      <c r="P95" s="0" t="str">
        <f aca="false">TRIM(MID(C95,FIND(",",C95)+1,5))</f>
        <v>Hf</v>
      </c>
      <c r="Q95" s="0" t="n">
        <f aca="false">IF(P95="","",_xlfn.XLOOKUP(TRIM(P95),Metallic_Radius_Table!A:A,Metallic_Radius_Table!B:B))</f>
        <v>1.59</v>
      </c>
      <c r="R95" s="0" t="str">
        <f aca="false">IF(G95&gt;=1,   "Ferromagnetic / Ferrimagnetic",   IF(G95&gt;=0.05,      "Paramagnetic / Weakly magnetic",      "Antiferromagnetic / Diamagnetic"))</f>
        <v>Antiferromagnetic / Diamagnetic</v>
      </c>
      <c r="U95" s="0" t="str">
        <f aca="false">IF(G95&gt;=1,
   "FM → PM (Curie-type)",
   IF(G95&lt;0.05,
      "AFM → PM (Néel-type)",
      "No long-range magnetic transition"))</f>
        <v>AFM → PM (Néel-type)</v>
      </c>
    </row>
    <row r="96" customFormat="false" ht="13.8" hidden="false" customHeight="false" outlineLevel="0" collapsed="false">
      <c r="A96" s="0" t="s">
        <v>258</v>
      </c>
      <c r="B96" s="0" t="s">
        <v>259</v>
      </c>
      <c r="C96" s="0" t="s">
        <v>260</v>
      </c>
      <c r="D96" s="0" t="n">
        <v>-2.508303185</v>
      </c>
      <c r="E96" s="0" t="n">
        <v>0.135700244249999</v>
      </c>
      <c r="F96" s="0" t="n">
        <v>0</v>
      </c>
      <c r="G96" s="0" t="n">
        <v>0.0035364</v>
      </c>
      <c r="H96" s="0" t="s">
        <v>163</v>
      </c>
      <c r="I96" s="2" t="b">
        <f aca="false">TRUE()</f>
        <v>1</v>
      </c>
      <c r="J96" s="0" t="str">
        <f aca="false">IF(AND(CODE(MID(B96,2,1))&gt;=97,CODE(MID(B96,2,1))&lt;=122),LEFT(B96,2),LEFT(B96,1))</f>
        <v>Ca</v>
      </c>
      <c r="K96" s="0" t="n">
        <f aca="false">IF(J96="","",_xlfn.XLOOKUP(TRIM(J96),Metallic_Radius_Table!A:A,Metallic_Radius_Table!B:B))</f>
        <v>1.97</v>
      </c>
      <c r="L96" s="0" t="str">
        <f aca="false">IF(ISNUMBER(SEARCH("La",B96)),"La",
 IF(ISNUMBER(SEARCH("Nd",B96)),"Nd",
 IF(ISNUMBER(SEARCH("Eu",B96)),"Eu",
 IF(ISNUMBER(SEARCH("Gd",B96)),"Gd",""))))</f>
        <v>La</v>
      </c>
      <c r="M96" s="0" t="n">
        <f aca="false">IF(L96="","",_xlfn.XLOOKUP(TRIM(L96),Metallic_Radius_Table!A:A,Metallic_Radius_Table!B:B))</f>
        <v>1.87</v>
      </c>
      <c r="N96" s="0" t="str">
        <f aca="false">TRIM(LEFT(C96,FIND(",",C96)-1))</f>
        <v>Cr</v>
      </c>
      <c r="O96" s="3" t="n">
        <f aca="false">IF(N96="","",_xlfn.XLOOKUP(TRIM(N96),Metallic_Radius_Table!A:A,Metallic_Radius_Table!B:B))</f>
        <v>1.28</v>
      </c>
      <c r="P96" s="0" t="str">
        <f aca="false">TRIM(MID(C96,FIND(",",C96)+1,5))</f>
        <v>Co</v>
      </c>
      <c r="Q96" s="0" t="n">
        <f aca="false">IF(P96="","",_xlfn.XLOOKUP(TRIM(P96),Metallic_Radius_Table!A:A,Metallic_Radius_Table!B:B))</f>
        <v>1.25</v>
      </c>
      <c r="R96" s="0" t="str">
        <f aca="false">IF(G96&gt;=1,   "Ferromagnetic / Ferrimagnetic",   IF(G96&gt;=0.05,      "Paramagnetic / Weakly magnetic",      "Antiferromagnetic / Diamagnetic"))</f>
        <v>Antiferromagnetic / Diamagnetic</v>
      </c>
      <c r="U96" s="0" t="str">
        <f aca="false">IF(G96&gt;=1,
   "FM → PM (Curie-type)",
   IF(G96&lt;0.05,
      "AFM → PM (Néel-type)",
      "No long-range magnetic transition"))</f>
        <v>AFM → PM (Néel-type)</v>
      </c>
    </row>
    <row r="97" customFormat="false" ht="13.8" hidden="false" customHeight="false" outlineLevel="0" collapsed="false">
      <c r="A97" s="0" t="s">
        <v>261</v>
      </c>
      <c r="B97" s="0" t="s">
        <v>262</v>
      </c>
      <c r="C97" s="0" t="s">
        <v>143</v>
      </c>
      <c r="D97" s="0" t="n">
        <v>-2.73674654549999</v>
      </c>
      <c r="E97" s="0" t="n">
        <v>0.031413375749995</v>
      </c>
      <c r="F97" s="0" t="n">
        <v>0</v>
      </c>
      <c r="G97" s="0" t="n">
        <v>13.993967</v>
      </c>
      <c r="H97" s="0" t="s">
        <v>163</v>
      </c>
      <c r="I97" s="2" t="b">
        <f aca="false">TRUE()</f>
        <v>1</v>
      </c>
      <c r="J97" s="0" t="str">
        <f aca="false">IF(AND(CODE(MID(B97,2,1))&gt;=97,CODE(MID(B97,2,1))&lt;=122),LEFT(B97,2),LEFT(B97,1))</f>
        <v>Ca</v>
      </c>
      <c r="K97" s="0" t="n">
        <f aca="false">IF(J97="","",_xlfn.XLOOKUP(TRIM(J97),Metallic_Radius_Table!A:A,Metallic_Radius_Table!B:B))</f>
        <v>1.97</v>
      </c>
      <c r="L97" s="0" t="str">
        <f aca="false">IF(ISNUMBER(SEARCH("La",B97)),"La",
 IF(ISNUMBER(SEARCH("Nd",B97)),"Nd",
 IF(ISNUMBER(SEARCH("Eu",B97)),"Eu",
 IF(ISNUMBER(SEARCH("Gd",B97)),"Gd",""))))</f>
        <v>La</v>
      </c>
      <c r="M97" s="0" t="n">
        <f aca="false">IF(L97="","",_xlfn.XLOOKUP(TRIM(L97),Metallic_Radius_Table!A:A,Metallic_Radius_Table!B:B))</f>
        <v>1.87</v>
      </c>
      <c r="N97" s="0" t="str">
        <f aca="false">TRIM(LEFT(C97,FIND(",",C97)-1))</f>
        <v>Cr</v>
      </c>
      <c r="O97" s="3" t="n">
        <f aca="false">IF(N97="","",_xlfn.XLOOKUP(TRIM(N97),Metallic_Radius_Table!A:A,Metallic_Radius_Table!B:B))</f>
        <v>1.28</v>
      </c>
      <c r="P97" s="0" t="str">
        <f aca="false">TRIM(MID(C97,FIND(",",C97)+1,5))</f>
        <v>Fe</v>
      </c>
      <c r="Q97" s="0" t="n">
        <f aca="false">IF(P97="","",_xlfn.XLOOKUP(TRIM(P97),Metallic_Radius_Table!A:A,Metallic_Radius_Table!B:B))</f>
        <v>1.26</v>
      </c>
      <c r="R97" s="0" t="str">
        <f aca="false">IF(G97&gt;=1,   "Ferromagnetic / Ferrimagnetic",   IF(G97&gt;=0.05,      "Paramagnetic / Weakly magnetic",      "Antiferromagnetic / Diamagnetic"))</f>
        <v>Ferromagnetic / Ferrimagnetic</v>
      </c>
      <c r="U97" s="0" t="str">
        <f aca="false">IF(G97&gt;=1,
   "FM → PM (Curie-type)",
   IF(G97&lt;0.05,
      "AFM → PM (Néel-type)",
      "No long-range magnetic transition"))</f>
        <v>FM → PM (Curie-type)</v>
      </c>
    </row>
    <row r="98" customFormat="false" ht="13.8" hidden="false" customHeight="false" outlineLevel="0" collapsed="false">
      <c r="A98" s="0" t="s">
        <v>263</v>
      </c>
      <c r="B98" s="0" t="s">
        <v>264</v>
      </c>
      <c r="C98" s="0" t="s">
        <v>39</v>
      </c>
      <c r="D98" s="0" t="n">
        <v>-2.8939462705</v>
      </c>
      <c r="E98" s="0" t="n">
        <v>0.014054269999999</v>
      </c>
      <c r="F98" s="0" t="n">
        <v>1.5053</v>
      </c>
      <c r="G98" s="0" t="n">
        <v>2.0069223</v>
      </c>
      <c r="H98" s="0" t="s">
        <v>163</v>
      </c>
      <c r="I98" s="2" t="b">
        <f aca="false">TRUE()</f>
        <v>1</v>
      </c>
      <c r="J98" s="0" t="str">
        <f aca="false">IF(AND(CODE(MID(B98,2,1))&gt;=97,CODE(MID(B98,2,1))&lt;=122),LEFT(B98,2),LEFT(B98,1))</f>
        <v>Ca</v>
      </c>
      <c r="K98" s="0" t="n">
        <f aca="false">IF(J98="","",_xlfn.XLOOKUP(TRIM(J98),Metallic_Radius_Table!A:A,Metallic_Radius_Table!B:B))</f>
        <v>1.97</v>
      </c>
      <c r="L98" s="0" t="str">
        <f aca="false">IF(ISNUMBER(SEARCH("La",B98)),"La",
 IF(ISNUMBER(SEARCH("Nd",B98)),"Nd",
 IF(ISNUMBER(SEARCH("Eu",B98)),"Eu",
 IF(ISNUMBER(SEARCH("Gd",B98)),"Gd",""))))</f>
        <v>La</v>
      </c>
      <c r="M98" s="0" t="n">
        <f aca="false">IF(L98="","",_xlfn.XLOOKUP(TRIM(L98),Metallic_Radius_Table!A:A,Metallic_Radius_Table!B:B))</f>
        <v>1.87</v>
      </c>
      <c r="N98" s="0" t="str">
        <f aca="false">TRIM(LEFT(C98,FIND(",",C98)-1))</f>
        <v>Cr</v>
      </c>
      <c r="O98" s="3" t="n">
        <f aca="false">IF(N98="","",_xlfn.XLOOKUP(TRIM(N98),Metallic_Radius_Table!A:A,Metallic_Radius_Table!B:B))</f>
        <v>1.28</v>
      </c>
      <c r="P98" s="0" t="str">
        <f aca="false">TRIM(MID(C98,FIND(",",C98)+1,5))</f>
        <v>Mo</v>
      </c>
      <c r="Q98" s="0" t="n">
        <f aca="false">IF(P98="","",_xlfn.XLOOKUP(TRIM(P98),Metallic_Radius_Table!A:A,Metallic_Radius_Table!B:B))</f>
        <v>1.39</v>
      </c>
      <c r="R98" s="0" t="str">
        <f aca="false">IF(G98&gt;=1,   "Ferromagnetic / Ferrimagnetic",   IF(G98&gt;=0.05,      "Paramagnetic / Weakly magnetic",      "Antiferromagnetic / Diamagnetic"))</f>
        <v>Ferromagnetic / Ferrimagnetic</v>
      </c>
      <c r="U98" s="0" t="str">
        <f aca="false">IF(G98&gt;=1,
   "FM → PM (Curie-type)",
   IF(G98&lt;0.05,
      "AFM → PM (Néel-type)",
      "No long-range magnetic transition"))</f>
        <v>FM → PM (Curie-type)</v>
      </c>
    </row>
    <row r="99" customFormat="false" ht="13.8" hidden="false" customHeight="false" outlineLevel="0" collapsed="false">
      <c r="A99" s="0" t="s">
        <v>265</v>
      </c>
      <c r="B99" s="0" t="s">
        <v>266</v>
      </c>
      <c r="C99" s="0" t="s">
        <v>267</v>
      </c>
      <c r="D99" s="0" t="n">
        <v>-2.54036150849999</v>
      </c>
      <c r="E99" s="0" t="n">
        <v>0.075222478333326</v>
      </c>
      <c r="F99" s="0" t="n">
        <v>0.6463</v>
      </c>
      <c r="G99" s="0" t="n">
        <v>0.0010837</v>
      </c>
      <c r="H99" s="0" t="s">
        <v>163</v>
      </c>
      <c r="I99" s="2" t="b">
        <f aca="false">TRUE()</f>
        <v>1</v>
      </c>
      <c r="J99" s="0" t="str">
        <f aca="false">IF(AND(CODE(MID(B99,2,1))&gt;=97,CODE(MID(B99,2,1))&lt;=122),LEFT(B99,2),LEFT(B99,1))</f>
        <v>Ca</v>
      </c>
      <c r="K99" s="0" t="n">
        <f aca="false">IF(J99="","",_xlfn.XLOOKUP(TRIM(J99),Metallic_Radius_Table!A:A,Metallic_Radius_Table!B:B))</f>
        <v>1.97</v>
      </c>
      <c r="L99" s="0" t="str">
        <f aca="false">IF(ISNUMBER(SEARCH("La",B99)),"La",
 IF(ISNUMBER(SEARCH("Nd",B99)),"Nd",
 IF(ISNUMBER(SEARCH("Eu",B99)),"Eu",
 IF(ISNUMBER(SEARCH("Gd",B99)),"Gd",""))))</f>
        <v>La</v>
      </c>
      <c r="M99" s="0" t="n">
        <f aca="false">IF(L99="","",_xlfn.XLOOKUP(TRIM(L99),Metallic_Radius_Table!A:A,Metallic_Radius_Table!B:B))</f>
        <v>1.87</v>
      </c>
      <c r="N99" s="0" t="str">
        <f aca="false">TRIM(LEFT(C99,FIND(",",C99)-1))</f>
        <v>Cr</v>
      </c>
      <c r="O99" s="3" t="n">
        <f aca="false">IF(N99="","",_xlfn.XLOOKUP(TRIM(N99),Metallic_Radius_Table!A:A,Metallic_Radius_Table!B:B))</f>
        <v>1.28</v>
      </c>
      <c r="P99" s="0" t="str">
        <f aca="false">TRIM(MID(C99,FIND(",",C99)+1,5))</f>
        <v>Ni</v>
      </c>
      <c r="Q99" s="0" t="n">
        <f aca="false">IF(P99="","",_xlfn.XLOOKUP(TRIM(P99),Metallic_Radius_Table!A:A,Metallic_Radius_Table!B:B))</f>
        <v>1.24</v>
      </c>
      <c r="R99" s="0" t="str">
        <f aca="false">IF(G99&gt;=1,   "Ferromagnetic / Ferrimagnetic",   IF(G99&gt;=0.05,      "Paramagnetic / Weakly magnetic",      "Antiferromagnetic / Diamagnetic"))</f>
        <v>Antiferromagnetic / Diamagnetic</v>
      </c>
      <c r="U99" s="0" t="str">
        <f aca="false">IF(G99&gt;=1,
   "FM → PM (Curie-type)",
   IF(G99&lt;0.05,
      "AFM → PM (Néel-type)",
      "No long-range magnetic transition"))</f>
        <v>AFM → PM (Néel-type)</v>
      </c>
    </row>
    <row r="100" customFormat="false" ht="13.8" hidden="false" customHeight="false" outlineLevel="0" collapsed="false">
      <c r="A100" s="0" t="s">
        <v>268</v>
      </c>
      <c r="B100" s="0" t="s">
        <v>269</v>
      </c>
      <c r="C100" s="0" t="s">
        <v>134</v>
      </c>
      <c r="D100" s="0" t="n">
        <v>-2.890700132</v>
      </c>
      <c r="E100" s="0" t="n">
        <v>0.061542932458339</v>
      </c>
      <c r="F100" s="0" t="n">
        <v>1.85259999999999</v>
      </c>
      <c r="G100" s="0" t="n">
        <v>2.0028681</v>
      </c>
      <c r="H100" s="0" t="s">
        <v>163</v>
      </c>
      <c r="I100" s="2" t="b">
        <f aca="false">TRUE()</f>
        <v>1</v>
      </c>
      <c r="J100" s="0" t="str">
        <f aca="false">IF(AND(CODE(MID(B100,2,1))&gt;=97,CODE(MID(B100,2,1))&lt;=122),LEFT(B100,2),LEFT(B100,1))</f>
        <v>Ca</v>
      </c>
      <c r="K100" s="0" t="n">
        <f aca="false">IF(J100="","",_xlfn.XLOOKUP(TRIM(J100),Metallic_Radius_Table!A:A,Metallic_Radius_Table!B:B))</f>
        <v>1.97</v>
      </c>
      <c r="L100" s="0" t="str">
        <f aca="false">IF(ISNUMBER(SEARCH("La",B100)),"La",
 IF(ISNUMBER(SEARCH("Nd",B100)),"Nd",
 IF(ISNUMBER(SEARCH("Eu",B100)),"Eu",
 IF(ISNUMBER(SEARCH("Gd",B100)),"Gd",""))))</f>
        <v>La</v>
      </c>
      <c r="M100" s="0" t="n">
        <f aca="false">IF(L100="","",_xlfn.XLOOKUP(TRIM(L100),Metallic_Radius_Table!A:A,Metallic_Radius_Table!B:B))</f>
        <v>1.87</v>
      </c>
      <c r="N100" s="0" t="str">
        <f aca="false">TRIM(LEFT(C100,FIND(",",C100)-1))</f>
        <v>Cr</v>
      </c>
      <c r="O100" s="3" t="n">
        <f aca="false">IF(N100="","",_xlfn.XLOOKUP(TRIM(N100),Metallic_Radius_Table!A:A,Metallic_Radius_Table!B:B))</f>
        <v>1.28</v>
      </c>
      <c r="P100" s="0" t="str">
        <f aca="false">TRIM(MID(C100,FIND(",",C100)+1,5))</f>
        <v>W</v>
      </c>
      <c r="Q100" s="0" t="n">
        <f aca="false">IF(P100="","",_xlfn.XLOOKUP(TRIM(P100),Metallic_Radius_Table!A:A,Metallic_Radius_Table!B:B))</f>
        <v>1.41</v>
      </c>
      <c r="R100" s="0" t="str">
        <f aca="false">IF(G100&gt;=1,   "Ferromagnetic / Ferrimagnetic",   IF(G100&gt;=0.05,      "Paramagnetic / Weakly magnetic",      "Antiferromagnetic / Diamagnetic"))</f>
        <v>Ferromagnetic / Ferrimagnetic</v>
      </c>
      <c r="U100" s="0" t="str">
        <f aca="false">IF(G100&gt;=1,
   "FM → PM (Curie-type)",
   IF(G100&lt;0.05,
      "AFM → PM (Néel-type)",
      "No long-range magnetic transition"))</f>
        <v>FM → PM (Curie-type)</v>
      </c>
    </row>
    <row r="101" customFormat="false" ht="13.8" hidden="false" customHeight="false" outlineLevel="0" collapsed="false">
      <c r="A101" s="0" t="s">
        <v>270</v>
      </c>
      <c r="B101" s="0" t="s">
        <v>271</v>
      </c>
      <c r="C101" s="0" t="s">
        <v>192</v>
      </c>
      <c r="D101" s="0" t="n">
        <v>-2.399504409</v>
      </c>
      <c r="E101" s="0" t="n">
        <v>0.047697685833332</v>
      </c>
      <c r="F101" s="0" t="n">
        <v>0</v>
      </c>
      <c r="G101" s="0" t="n">
        <v>15.9981038</v>
      </c>
      <c r="H101" s="0" t="s">
        <v>163</v>
      </c>
      <c r="I101" s="2" t="b">
        <f aca="false">TRUE()</f>
        <v>1</v>
      </c>
      <c r="J101" s="0" t="str">
        <f aca="false">IF(AND(CODE(MID(B101,2,1))&gt;=97,CODE(MID(B101,2,1))&lt;=122),LEFT(B101,2),LEFT(B101,1))</f>
        <v>Ca</v>
      </c>
      <c r="K101" s="0" t="n">
        <f aca="false">IF(J101="","",_xlfn.XLOOKUP(TRIM(J101),Metallic_Radius_Table!A:A,Metallic_Radius_Table!B:B))</f>
        <v>1.97</v>
      </c>
      <c r="L101" s="0" t="str">
        <f aca="false">IF(ISNUMBER(SEARCH("La",B101)),"La",
 IF(ISNUMBER(SEARCH("Nd",B101)),"Nd",
 IF(ISNUMBER(SEARCH("Eu",B101)),"Eu",
 IF(ISNUMBER(SEARCH("Gd",B101)),"Gd",""))))</f>
        <v>La</v>
      </c>
      <c r="M101" s="0" t="n">
        <f aca="false">IF(L101="","",_xlfn.XLOOKUP(TRIM(L101),Metallic_Radius_Table!A:A,Metallic_Radius_Table!B:B))</f>
        <v>1.87</v>
      </c>
      <c r="N101" s="0" t="str">
        <f aca="false">TRIM(LEFT(C101,FIND(",",C101)-1))</f>
        <v>Fe</v>
      </c>
      <c r="O101" s="3" t="n">
        <f aca="false">IF(N101="","",_xlfn.XLOOKUP(TRIM(N101),Metallic_Radius_Table!A:A,Metallic_Radius_Table!B:B))</f>
        <v>1.26</v>
      </c>
      <c r="P101" s="0" t="str">
        <f aca="false">TRIM(MID(C101,FIND(",",C101)+1,5))</f>
        <v>Co</v>
      </c>
      <c r="Q101" s="0" t="n">
        <f aca="false">IF(P101="","",_xlfn.XLOOKUP(TRIM(P101),Metallic_Radius_Table!A:A,Metallic_Radius_Table!B:B))</f>
        <v>1.25</v>
      </c>
      <c r="R101" s="0" t="str">
        <f aca="false">IF(G101&gt;=1,   "Ferromagnetic / Ferrimagnetic",   IF(G101&gt;=0.05,      "Paramagnetic / Weakly magnetic",      "Antiferromagnetic / Diamagnetic"))</f>
        <v>Ferromagnetic / Ferrimagnetic</v>
      </c>
      <c r="U101" s="0" t="str">
        <f aca="false">IF(G101&gt;=1,
   "FM → PM (Curie-type)",
   IF(G101&lt;0.05,
      "AFM → PM (Néel-type)",
      "No long-range magnetic transition"))</f>
        <v>FM → PM (Curie-type)</v>
      </c>
    </row>
    <row r="102" customFormat="false" ht="13.8" hidden="false" customHeight="false" outlineLevel="0" collapsed="false">
      <c r="A102" s="0" t="s">
        <v>272</v>
      </c>
      <c r="B102" s="0" t="s">
        <v>273</v>
      </c>
      <c r="C102" s="0" t="s">
        <v>42</v>
      </c>
      <c r="D102" s="0" t="n">
        <v>-2.712180774</v>
      </c>
      <c r="E102" s="0" t="n">
        <v>0.023970996249999</v>
      </c>
      <c r="F102" s="0" t="n">
        <v>1.21859999999999</v>
      </c>
      <c r="G102" s="0" t="n">
        <v>14.0000305</v>
      </c>
      <c r="H102" s="0" t="s">
        <v>163</v>
      </c>
      <c r="I102" s="2" t="b">
        <f aca="false">TRUE()</f>
        <v>1</v>
      </c>
      <c r="J102" s="0" t="str">
        <f aca="false">IF(AND(CODE(MID(B102,2,1))&gt;=97,CODE(MID(B102,2,1))&lt;=122),LEFT(B102,2),LEFT(B102,1))</f>
        <v>Ca</v>
      </c>
      <c r="K102" s="0" t="n">
        <f aca="false">IF(J102="","",_xlfn.XLOOKUP(TRIM(J102),Metallic_Radius_Table!A:A,Metallic_Radius_Table!B:B))</f>
        <v>1.97</v>
      </c>
      <c r="L102" s="0" t="str">
        <f aca="false">IF(ISNUMBER(SEARCH("La",B102)),"La",
 IF(ISNUMBER(SEARCH("Nd",B102)),"Nd",
 IF(ISNUMBER(SEARCH("Eu",B102)),"Eu",
 IF(ISNUMBER(SEARCH("Gd",B102)),"Gd",""))))</f>
        <v>La</v>
      </c>
      <c r="M102" s="0" t="n">
        <f aca="false">IF(L102="","",_xlfn.XLOOKUP(TRIM(L102),Metallic_Radius_Table!A:A,Metallic_Radius_Table!B:B))</f>
        <v>1.87</v>
      </c>
      <c r="N102" s="0" t="str">
        <f aca="false">TRIM(LEFT(C102,FIND(",",C102)-1))</f>
        <v>Fe</v>
      </c>
      <c r="O102" s="3" t="n">
        <f aca="false">IF(N102="","",_xlfn.XLOOKUP(TRIM(N102),Metallic_Radius_Table!A:A,Metallic_Radius_Table!B:B))</f>
        <v>1.26</v>
      </c>
      <c r="P102" s="0" t="str">
        <f aca="false">TRIM(MID(C102,FIND(",",C102)+1,5))</f>
        <v>Mo</v>
      </c>
      <c r="Q102" s="0" t="n">
        <f aca="false">IF(P102="","",_xlfn.XLOOKUP(TRIM(P102),Metallic_Radius_Table!A:A,Metallic_Radius_Table!B:B))</f>
        <v>1.39</v>
      </c>
      <c r="R102" s="0" t="str">
        <f aca="false">IF(G102&gt;=1,   "Ferromagnetic / Ferrimagnetic",   IF(G102&gt;=0.05,      "Paramagnetic / Weakly magnetic",      "Antiferromagnetic / Diamagnetic"))</f>
        <v>Ferromagnetic / Ferrimagnetic</v>
      </c>
      <c r="U102" s="0" t="str">
        <f aca="false">IF(G102&gt;=1,
   "FM → PM (Curie-type)",
   IF(G102&lt;0.05,
      "AFM → PM (Néel-type)",
      "No long-range magnetic transition"))</f>
        <v>FM → PM (Curie-type)</v>
      </c>
    </row>
    <row r="103" customFormat="false" ht="13.8" hidden="false" customHeight="false" outlineLevel="0" collapsed="false">
      <c r="A103" s="0" t="s">
        <v>274</v>
      </c>
      <c r="B103" s="0" t="s">
        <v>275</v>
      </c>
      <c r="C103" s="0" t="s">
        <v>276</v>
      </c>
      <c r="D103" s="0" t="n">
        <v>-2.352552896</v>
      </c>
      <c r="E103" s="0" t="n">
        <v>0</v>
      </c>
      <c r="F103" s="0" t="n">
        <v>0</v>
      </c>
      <c r="G103" s="0" t="n">
        <v>10.0129448</v>
      </c>
      <c r="H103" s="0" t="s">
        <v>163</v>
      </c>
      <c r="I103" s="2" t="b">
        <f aca="false">TRUE()</f>
        <v>1</v>
      </c>
      <c r="J103" s="0" t="str">
        <f aca="false">IF(AND(CODE(MID(B103,2,1))&gt;=97,CODE(MID(B103,2,1))&lt;=122),LEFT(B103,2),LEFT(B103,1))</f>
        <v>Ca</v>
      </c>
      <c r="K103" s="0" t="n">
        <f aca="false">IF(J103="","",_xlfn.XLOOKUP(TRIM(J103),Metallic_Radius_Table!A:A,Metallic_Radius_Table!B:B))</f>
        <v>1.97</v>
      </c>
      <c r="L103" s="0" t="str">
        <f aca="false">IF(ISNUMBER(SEARCH("La",B103)),"La",
 IF(ISNUMBER(SEARCH("Nd",B103)),"Nd",
 IF(ISNUMBER(SEARCH("Eu",B103)),"Eu",
 IF(ISNUMBER(SEARCH("Gd",B103)),"Gd",""))))</f>
        <v>La</v>
      </c>
      <c r="M103" s="0" t="n">
        <f aca="false">IF(L103="","",_xlfn.XLOOKUP(TRIM(L103),Metallic_Radius_Table!A:A,Metallic_Radius_Table!B:B))</f>
        <v>1.87</v>
      </c>
      <c r="N103" s="0" t="str">
        <f aca="false">TRIM(LEFT(C103,FIND(",",C103)-1))</f>
        <v>Fe</v>
      </c>
      <c r="O103" s="3" t="n">
        <f aca="false">IF(N103="","",_xlfn.XLOOKUP(TRIM(N103),Metallic_Radius_Table!A:A,Metallic_Radius_Table!B:B))</f>
        <v>1.26</v>
      </c>
      <c r="P103" s="0" t="str">
        <f aca="false">TRIM(MID(C103,FIND(",",C103)+1,5))</f>
        <v>Ni</v>
      </c>
      <c r="Q103" s="0" t="n">
        <f aca="false">IF(P103="","",_xlfn.XLOOKUP(TRIM(P103),Metallic_Radius_Table!A:A,Metallic_Radius_Table!B:B))</f>
        <v>1.24</v>
      </c>
      <c r="R103" s="0" t="str">
        <f aca="false">IF(G103&gt;=1,   "Ferromagnetic / Ferrimagnetic",   IF(G103&gt;=0.05,      "Paramagnetic / Weakly magnetic",      "Antiferromagnetic / Diamagnetic"))</f>
        <v>Ferromagnetic / Ferrimagnetic</v>
      </c>
      <c r="U103" s="0" t="str">
        <f aca="false">IF(G103&gt;=1,
   "FM → PM (Curie-type)",
   IF(G103&lt;0.05,
      "AFM → PM (Néel-type)",
      "No long-range magnetic transition"))</f>
        <v>FM → PM (Curie-type)</v>
      </c>
    </row>
    <row r="104" customFormat="false" ht="13.8" hidden="false" customHeight="false" outlineLevel="0" collapsed="false">
      <c r="A104" s="0" t="s">
        <v>277</v>
      </c>
      <c r="B104" s="0" t="s">
        <v>275</v>
      </c>
      <c r="C104" s="0" t="s">
        <v>276</v>
      </c>
      <c r="D104" s="0" t="n">
        <v>-2.348544327</v>
      </c>
      <c r="E104" s="0" t="n">
        <v>0.004008568999999</v>
      </c>
      <c r="F104" s="0" t="n">
        <v>0.357999999999999</v>
      </c>
      <c r="G104" s="0" t="n">
        <v>10.0002619</v>
      </c>
      <c r="H104" s="0" t="s">
        <v>58</v>
      </c>
      <c r="I104" s="2" t="b">
        <f aca="false">TRUE()</f>
        <v>1</v>
      </c>
      <c r="J104" s="0" t="str">
        <f aca="false">IF(AND(CODE(MID(B104,2,1))&gt;=97,CODE(MID(B104,2,1))&lt;=122),LEFT(B104,2),LEFT(B104,1))</f>
        <v>Ca</v>
      </c>
      <c r="K104" s="0" t="n">
        <f aca="false">IF(J104="","",_xlfn.XLOOKUP(TRIM(J104),Metallic_Radius_Table!A:A,Metallic_Radius_Table!B:B))</f>
        <v>1.97</v>
      </c>
      <c r="L104" s="0" t="str">
        <f aca="false">IF(ISNUMBER(SEARCH("La",B104)),"La",
 IF(ISNUMBER(SEARCH("Nd",B104)),"Nd",
 IF(ISNUMBER(SEARCH("Eu",B104)),"Eu",
 IF(ISNUMBER(SEARCH("Gd",B104)),"Gd",""))))</f>
        <v>La</v>
      </c>
      <c r="M104" s="0" t="n">
        <f aca="false">IF(L104="","",_xlfn.XLOOKUP(TRIM(L104),Metallic_Radius_Table!A:A,Metallic_Radius_Table!B:B))</f>
        <v>1.87</v>
      </c>
      <c r="N104" s="0" t="str">
        <f aca="false">TRIM(LEFT(C104,FIND(",",C104)-1))</f>
        <v>Fe</v>
      </c>
      <c r="O104" s="3" t="n">
        <f aca="false">IF(N104="","",_xlfn.XLOOKUP(TRIM(N104),Metallic_Radius_Table!A:A,Metallic_Radius_Table!B:B))</f>
        <v>1.26</v>
      </c>
      <c r="P104" s="0" t="str">
        <f aca="false">TRIM(MID(C104,FIND(",",C104)+1,5))</f>
        <v>Ni</v>
      </c>
      <c r="Q104" s="0" t="n">
        <f aca="false">IF(P104="","",_xlfn.XLOOKUP(TRIM(P104),Metallic_Radius_Table!A:A,Metallic_Radius_Table!B:B))</f>
        <v>1.24</v>
      </c>
      <c r="R104" s="0" t="str">
        <f aca="false">IF(G104&gt;=1,   "Ferromagnetic / Ferrimagnetic",   IF(G104&gt;=0.05,      "Paramagnetic / Weakly magnetic",      "Antiferromagnetic / Diamagnetic"))</f>
        <v>Ferromagnetic / Ferrimagnetic</v>
      </c>
      <c r="U104" s="0" t="str">
        <f aca="false">IF(G104&gt;=1,
   "FM → PM (Curie-type)",
   IF(G104&lt;0.05,
      "AFM → PM (Néel-type)",
      "No long-range magnetic transition"))</f>
        <v>FM → PM (Curie-type)</v>
      </c>
    </row>
    <row r="105" customFormat="false" ht="13.8" hidden="false" customHeight="false" outlineLevel="0" collapsed="false">
      <c r="A105" s="0" t="s">
        <v>278</v>
      </c>
      <c r="B105" s="0" t="s">
        <v>279</v>
      </c>
      <c r="C105" s="0" t="s">
        <v>53</v>
      </c>
      <c r="D105" s="0" t="n">
        <v>-2.7854485645</v>
      </c>
      <c r="E105" s="0" t="n">
        <v>0.037199050749997</v>
      </c>
      <c r="F105" s="0" t="n">
        <v>0.220399999999999</v>
      </c>
      <c r="G105" s="0" t="n">
        <v>2.0002215</v>
      </c>
      <c r="H105" s="0" t="s">
        <v>58</v>
      </c>
      <c r="I105" s="2" t="b">
        <f aca="false">TRUE()</f>
        <v>1</v>
      </c>
      <c r="J105" s="0" t="str">
        <f aca="false">IF(AND(CODE(MID(B105,2,1))&gt;=97,CODE(MID(B105,2,1))&lt;=122),LEFT(B105,2),LEFT(B105,1))</f>
        <v>Ca</v>
      </c>
      <c r="K105" s="0" t="n">
        <f aca="false">IF(J105="","",_xlfn.XLOOKUP(TRIM(J105),Metallic_Radius_Table!A:A,Metallic_Radius_Table!B:B))</f>
        <v>1.97</v>
      </c>
      <c r="L105" s="0" t="str">
        <f aca="false">IF(ISNUMBER(SEARCH("La",B105)),"La",
 IF(ISNUMBER(SEARCH("Nd",B105)),"Nd",
 IF(ISNUMBER(SEARCH("Eu",B105)),"Eu",
 IF(ISNUMBER(SEARCH("Gd",B105)),"Gd",""))))</f>
        <v>La</v>
      </c>
      <c r="M105" s="0" t="n">
        <f aca="false">IF(L105="","",_xlfn.XLOOKUP(TRIM(L105),Metallic_Radius_Table!A:A,Metallic_Radius_Table!B:B))</f>
        <v>1.87</v>
      </c>
      <c r="N105" s="0" t="str">
        <f aca="false">TRIM(LEFT(C105,FIND(",",C105)-1))</f>
        <v>Fe</v>
      </c>
      <c r="O105" s="3" t="n">
        <f aca="false">IF(N105="","",_xlfn.XLOOKUP(TRIM(N105),Metallic_Radius_Table!A:A,Metallic_Radius_Table!B:B))</f>
        <v>1.26</v>
      </c>
      <c r="P105" s="0" t="str">
        <f aca="false">TRIM(MID(C105,FIND(",",C105)+1,5))</f>
        <v>W</v>
      </c>
      <c r="Q105" s="0" t="n">
        <f aca="false">IF(P105="","",_xlfn.XLOOKUP(TRIM(P105),Metallic_Radius_Table!A:A,Metallic_Radius_Table!B:B))</f>
        <v>1.41</v>
      </c>
      <c r="R105" s="0" t="str">
        <f aca="false">IF(G105&gt;=1,   "Ferromagnetic / Ferrimagnetic",   IF(G105&gt;=0.05,      "Paramagnetic / Weakly magnetic",      "Antiferromagnetic / Diamagnetic"))</f>
        <v>Ferromagnetic / Ferrimagnetic</v>
      </c>
      <c r="U105" s="0" t="str">
        <f aca="false">IF(G105&gt;=1,
   "FM → PM (Curie-type)",
   IF(G105&lt;0.05,
      "AFM → PM (Néel-type)",
      "No long-range magnetic transition"))</f>
        <v>FM → PM (Curie-type)</v>
      </c>
    </row>
    <row r="106" customFormat="false" ht="13.8" hidden="false" customHeight="false" outlineLevel="0" collapsed="false">
      <c r="A106" s="0" t="s">
        <v>280</v>
      </c>
      <c r="B106" s="0" t="s">
        <v>279</v>
      </c>
      <c r="C106" s="0" t="s">
        <v>53</v>
      </c>
      <c r="D106" s="0" t="n">
        <v>-2.78816411</v>
      </c>
      <c r="E106" s="0" t="n">
        <v>0.034483505249998</v>
      </c>
      <c r="F106" s="0" t="n">
        <v>2.471</v>
      </c>
      <c r="G106" s="0" t="n">
        <v>0.001670799999999</v>
      </c>
      <c r="H106" s="0" t="s">
        <v>58</v>
      </c>
      <c r="I106" s="2" t="b">
        <f aca="false">TRUE()</f>
        <v>1</v>
      </c>
      <c r="J106" s="0" t="str">
        <f aca="false">IF(AND(CODE(MID(B106,2,1))&gt;=97,CODE(MID(B106,2,1))&lt;=122),LEFT(B106,2),LEFT(B106,1))</f>
        <v>Ca</v>
      </c>
      <c r="K106" s="0" t="n">
        <f aca="false">IF(J106="","",_xlfn.XLOOKUP(TRIM(J106),Metallic_Radius_Table!A:A,Metallic_Radius_Table!B:B))</f>
        <v>1.97</v>
      </c>
      <c r="L106" s="0" t="str">
        <f aca="false">IF(ISNUMBER(SEARCH("La",B106)),"La",
 IF(ISNUMBER(SEARCH("Nd",B106)),"Nd",
 IF(ISNUMBER(SEARCH("Eu",B106)),"Eu",
 IF(ISNUMBER(SEARCH("Gd",B106)),"Gd",""))))</f>
        <v>La</v>
      </c>
      <c r="M106" s="0" t="n">
        <f aca="false">IF(L106="","",_xlfn.XLOOKUP(TRIM(L106),Metallic_Radius_Table!A:A,Metallic_Radius_Table!B:B))</f>
        <v>1.87</v>
      </c>
      <c r="N106" s="0" t="str">
        <f aca="false">TRIM(LEFT(C106,FIND(",",C106)-1))</f>
        <v>Fe</v>
      </c>
      <c r="O106" s="3" t="n">
        <f aca="false">IF(N106="","",_xlfn.XLOOKUP(TRIM(N106),Metallic_Radius_Table!A:A,Metallic_Radius_Table!B:B))</f>
        <v>1.26</v>
      </c>
      <c r="P106" s="0" t="str">
        <f aca="false">TRIM(MID(C106,FIND(",",C106)+1,5))</f>
        <v>W</v>
      </c>
      <c r="Q106" s="0" t="n">
        <f aca="false">IF(P106="","",_xlfn.XLOOKUP(TRIM(P106),Metallic_Radius_Table!A:A,Metallic_Radius_Table!B:B))</f>
        <v>1.41</v>
      </c>
      <c r="R106" s="0" t="str">
        <f aca="false">IF(G106&gt;=1,   "Ferromagnetic / Ferrimagnetic",   IF(G106&gt;=0.05,      "Paramagnetic / Weakly magnetic",      "Antiferromagnetic / Diamagnetic"))</f>
        <v>Antiferromagnetic / Diamagnetic</v>
      </c>
      <c r="U106" s="0" t="str">
        <f aca="false">IF(G106&gt;=1,
   "FM → PM (Curie-type)",
   IF(G106&lt;0.05,
      "AFM → PM (Néel-type)",
      "No long-range magnetic transition"))</f>
        <v>AFM → PM (Néel-type)</v>
      </c>
    </row>
    <row r="107" customFormat="false" ht="13.8" hidden="false" customHeight="false" outlineLevel="0" collapsed="false">
      <c r="A107" s="0" t="s">
        <v>281</v>
      </c>
      <c r="B107" s="0" t="s">
        <v>282</v>
      </c>
      <c r="C107" s="0" t="s">
        <v>283</v>
      </c>
      <c r="D107" s="0" t="n">
        <v>-2.8557681932931</v>
      </c>
      <c r="E107" s="0" t="n">
        <v>0.106913039966663</v>
      </c>
      <c r="F107" s="0" t="n">
        <v>0</v>
      </c>
      <c r="G107" s="4" t="n">
        <v>6.5E-006</v>
      </c>
      <c r="H107" s="0" t="s">
        <v>163</v>
      </c>
      <c r="I107" s="2" t="b">
        <f aca="false">TRUE()</f>
        <v>1</v>
      </c>
      <c r="J107" s="0" t="str">
        <f aca="false">IF(AND(CODE(MID(B107,2,1))&gt;=97,CODE(MID(B107,2,1))&lt;=122),LEFT(B107,2),LEFT(B107,1))</f>
        <v>Ca</v>
      </c>
      <c r="K107" s="0" t="n">
        <f aca="false">IF(J107="","",_xlfn.XLOOKUP(TRIM(J107),Metallic_Radius_Table!A:A,Metallic_Radius_Table!B:B))</f>
        <v>1.97</v>
      </c>
      <c r="L107" s="0" t="str">
        <f aca="false">IF(ISNUMBER(SEARCH("La",B107)),"La",
 IF(ISNUMBER(SEARCH("Nd",B107)),"Nd",
 IF(ISNUMBER(SEARCH("Eu",B107)),"Eu",
 IF(ISNUMBER(SEARCH("Gd",B107)),"Gd",""))))</f>
        <v>La</v>
      </c>
      <c r="M107" s="0" t="n">
        <f aca="false">IF(L107="","",_xlfn.XLOOKUP(TRIM(L107),Metallic_Radius_Table!A:A,Metallic_Radius_Table!B:B))</f>
        <v>1.87</v>
      </c>
      <c r="N107" s="0" t="str">
        <f aca="false">TRIM(LEFT(C107,FIND(",",C107)-1))</f>
        <v>Cr</v>
      </c>
      <c r="O107" s="3" t="n">
        <f aca="false">IF(N107="","",_xlfn.XLOOKUP(TRIM(N107),Metallic_Radius_Table!A:A,Metallic_Radius_Table!B:B))</f>
        <v>1.28</v>
      </c>
      <c r="P107" s="0" t="str">
        <f aca="false">TRIM(MID(C107,FIND(",",C107)+1,5))</f>
        <v>Mn</v>
      </c>
      <c r="Q107" s="0" t="n">
        <f aca="false">IF(P107="","",_xlfn.XLOOKUP(TRIM(P107),Metallic_Radius_Table!A:A,Metallic_Radius_Table!B:B))</f>
        <v>1.27</v>
      </c>
      <c r="R107" s="0" t="str">
        <f aca="false">IF(G107&gt;=1,   "Ferromagnetic / Ferrimagnetic",   IF(G107&gt;=0.05,      "Paramagnetic / Weakly magnetic",      "Antiferromagnetic / Diamagnetic"))</f>
        <v>Antiferromagnetic / Diamagnetic</v>
      </c>
      <c r="U107" s="0" t="str">
        <f aca="false">IF(G107&gt;=1,
   "FM → PM (Curie-type)",
   IF(G107&lt;0.05,
      "AFM → PM (Néel-type)",
      "No long-range magnetic transition"))</f>
        <v>AFM → PM (Néel-type)</v>
      </c>
    </row>
    <row r="108" customFormat="false" ht="13.8" hidden="false" customHeight="false" outlineLevel="0" collapsed="false">
      <c r="A108" s="0" t="s">
        <v>284</v>
      </c>
      <c r="B108" s="0" t="s">
        <v>285</v>
      </c>
      <c r="C108" s="0" t="s">
        <v>286</v>
      </c>
      <c r="D108" s="0" t="n">
        <v>-2.6976986797931</v>
      </c>
      <c r="E108" s="0" t="n">
        <v>0.057458161166655</v>
      </c>
      <c r="F108" s="0" t="n">
        <v>1.07569999999999</v>
      </c>
      <c r="G108" s="4" t="n">
        <v>3.9E-006</v>
      </c>
      <c r="H108" s="0" t="s">
        <v>163</v>
      </c>
      <c r="I108" s="2" t="b">
        <f aca="false">TRUE()</f>
        <v>1</v>
      </c>
      <c r="J108" s="0" t="str">
        <f aca="false">IF(AND(CODE(MID(B108,2,1))&gt;=97,CODE(MID(B108,2,1))&lt;=122),LEFT(B108,2),LEFT(B108,1))</f>
        <v>Ca</v>
      </c>
      <c r="K108" s="0" t="n">
        <f aca="false">IF(J108="","",_xlfn.XLOOKUP(TRIM(J108),Metallic_Radius_Table!A:A,Metallic_Radius_Table!B:B))</f>
        <v>1.97</v>
      </c>
      <c r="L108" s="0" t="str">
        <f aca="false">IF(ISNUMBER(SEARCH("La",B108)),"La",
 IF(ISNUMBER(SEARCH("Nd",B108)),"Nd",
 IF(ISNUMBER(SEARCH("Eu",B108)),"Eu",
 IF(ISNUMBER(SEARCH("Gd",B108)),"Gd",""))))</f>
        <v>La</v>
      </c>
      <c r="M108" s="0" t="n">
        <f aca="false">IF(L108="","",_xlfn.XLOOKUP(TRIM(L108),Metallic_Radius_Table!A:A,Metallic_Radius_Table!B:B))</f>
        <v>1.87</v>
      </c>
      <c r="N108" s="0" t="str">
        <f aca="false">TRIM(LEFT(C108,FIND(",",C108)-1))</f>
        <v>Fe</v>
      </c>
      <c r="O108" s="3" t="n">
        <f aca="false">IF(N108="","",_xlfn.XLOOKUP(TRIM(N108),Metallic_Radius_Table!A:A,Metallic_Radius_Table!B:B))</f>
        <v>1.26</v>
      </c>
      <c r="P108" s="0" t="str">
        <f aca="false">TRIM(MID(C108,FIND(",",C108)+1,5))</f>
        <v>Mn</v>
      </c>
      <c r="Q108" s="0" t="n">
        <f aca="false">IF(P108="","",_xlfn.XLOOKUP(TRIM(P108),Metallic_Radius_Table!A:A,Metallic_Radius_Table!B:B))</f>
        <v>1.27</v>
      </c>
      <c r="R108" s="0" t="str">
        <f aca="false">IF(G108&gt;=1,   "Ferromagnetic / Ferrimagnetic",   IF(G108&gt;=0.05,      "Paramagnetic / Weakly magnetic",      "Antiferromagnetic / Diamagnetic"))</f>
        <v>Antiferromagnetic / Diamagnetic</v>
      </c>
      <c r="U108" s="0" t="str">
        <f aca="false">IF(G108&gt;=1,
   "FM → PM (Curie-type)",
   IF(G108&lt;0.05,
      "AFM → PM (Néel-type)",
      "No long-range magnetic transition"))</f>
        <v>AFM → PM (Néel-type)</v>
      </c>
    </row>
    <row r="109" customFormat="false" ht="13.8" hidden="false" customHeight="false" outlineLevel="0" collapsed="false">
      <c r="A109" s="0" t="s">
        <v>287</v>
      </c>
      <c r="B109" s="0" t="s">
        <v>285</v>
      </c>
      <c r="C109" s="0" t="s">
        <v>286</v>
      </c>
      <c r="D109" s="0" t="n">
        <v>-2.6905718437931</v>
      </c>
      <c r="E109" s="0" t="n">
        <v>0.064584997166653</v>
      </c>
      <c r="F109" s="0" t="n">
        <v>1.4781</v>
      </c>
      <c r="G109" s="0" t="n">
        <v>3.9943381</v>
      </c>
      <c r="H109" s="0" t="s">
        <v>163</v>
      </c>
      <c r="I109" s="2" t="b">
        <f aca="false">TRUE()</f>
        <v>1</v>
      </c>
      <c r="J109" s="0" t="str">
        <f aca="false">IF(AND(CODE(MID(B109,2,1))&gt;=97,CODE(MID(B109,2,1))&lt;=122),LEFT(B109,2),LEFT(B109,1))</f>
        <v>Ca</v>
      </c>
      <c r="K109" s="0" t="n">
        <f aca="false">IF(J109="","",_xlfn.XLOOKUP(TRIM(J109),Metallic_Radius_Table!A:A,Metallic_Radius_Table!B:B))</f>
        <v>1.97</v>
      </c>
      <c r="L109" s="0" t="str">
        <f aca="false">IF(ISNUMBER(SEARCH("La",B109)),"La",
 IF(ISNUMBER(SEARCH("Nd",B109)),"Nd",
 IF(ISNUMBER(SEARCH("Eu",B109)),"Eu",
 IF(ISNUMBER(SEARCH("Gd",B109)),"Gd",""))))</f>
        <v>La</v>
      </c>
      <c r="M109" s="0" t="n">
        <f aca="false">IF(L109="","",_xlfn.XLOOKUP(TRIM(L109),Metallic_Radius_Table!A:A,Metallic_Radius_Table!B:B))</f>
        <v>1.87</v>
      </c>
      <c r="N109" s="0" t="str">
        <f aca="false">TRIM(LEFT(C109,FIND(",",C109)-1))</f>
        <v>Fe</v>
      </c>
      <c r="O109" s="3" t="n">
        <f aca="false">IF(N109="","",_xlfn.XLOOKUP(TRIM(N109),Metallic_Radius_Table!A:A,Metallic_Radius_Table!B:B))</f>
        <v>1.26</v>
      </c>
      <c r="P109" s="0" t="str">
        <f aca="false">TRIM(MID(C109,FIND(",",C109)+1,5))</f>
        <v>Mn</v>
      </c>
      <c r="Q109" s="0" t="n">
        <f aca="false">IF(P109="","",_xlfn.XLOOKUP(TRIM(P109),Metallic_Radius_Table!A:A,Metallic_Radius_Table!B:B))</f>
        <v>1.27</v>
      </c>
      <c r="R109" s="0" t="str">
        <f aca="false">IF(G109&gt;=1,   "Ferromagnetic / Ferrimagnetic",   IF(G109&gt;=0.05,      "Paramagnetic / Weakly magnetic",      "Antiferromagnetic / Diamagnetic"))</f>
        <v>Ferromagnetic / Ferrimagnetic</v>
      </c>
      <c r="U109" s="0" t="str">
        <f aca="false">IF(G109&gt;=1,
   "FM → PM (Curie-type)",
   IF(G109&lt;0.05,
      "AFM → PM (Néel-type)",
      "No long-range magnetic transition"))</f>
        <v>FM → PM (Curie-type)</v>
      </c>
    </row>
    <row r="110" customFormat="false" ht="13.8" hidden="false" customHeight="false" outlineLevel="0" collapsed="false">
      <c r="A110" s="0" t="s">
        <v>288</v>
      </c>
      <c r="B110" s="0" t="s">
        <v>289</v>
      </c>
      <c r="C110" s="0" t="s">
        <v>61</v>
      </c>
      <c r="D110" s="0" t="n">
        <v>-2.8261777087931</v>
      </c>
      <c r="E110" s="0" t="n">
        <v>0.063149547641668</v>
      </c>
      <c r="F110" s="0" t="n">
        <v>1.3872</v>
      </c>
      <c r="G110" s="0" t="n">
        <v>7.9999727</v>
      </c>
      <c r="H110" s="0" t="s">
        <v>163</v>
      </c>
      <c r="I110" s="2" t="b">
        <f aca="false">TRUE()</f>
        <v>1</v>
      </c>
      <c r="J110" s="0" t="str">
        <f aca="false">IF(AND(CODE(MID(B110,2,1))&gt;=97,CODE(MID(B110,2,1))&lt;=122),LEFT(B110,2),LEFT(B110,1))</f>
        <v>Ca</v>
      </c>
      <c r="K110" s="0" t="n">
        <f aca="false">IF(J110="","",_xlfn.XLOOKUP(TRIM(J110),Metallic_Radius_Table!A:A,Metallic_Radius_Table!B:B))</f>
        <v>1.97</v>
      </c>
      <c r="L110" s="0" t="str">
        <f aca="false">IF(ISNUMBER(SEARCH("La",B110)),"La",
 IF(ISNUMBER(SEARCH("Nd",B110)),"Nd",
 IF(ISNUMBER(SEARCH("Eu",B110)),"Eu",
 IF(ISNUMBER(SEARCH("Gd",B110)),"Gd",""))))</f>
        <v>La</v>
      </c>
      <c r="M110" s="0" t="n">
        <f aca="false">IF(L110="","",_xlfn.XLOOKUP(TRIM(L110),Metallic_Radius_Table!A:A,Metallic_Radius_Table!B:B))</f>
        <v>1.87</v>
      </c>
      <c r="N110" s="0" t="str">
        <f aca="false">TRIM(LEFT(C110,FIND(",",C110)-1))</f>
        <v>Mn</v>
      </c>
      <c r="O110" s="3" t="n">
        <f aca="false">IF(N110="","",_xlfn.XLOOKUP(TRIM(N110),Metallic_Radius_Table!A:A,Metallic_Radius_Table!B:B))</f>
        <v>1.27</v>
      </c>
      <c r="P110" s="0" t="str">
        <f aca="false">TRIM(MID(C110,FIND(",",C110)+1,5))</f>
        <v>Mo</v>
      </c>
      <c r="Q110" s="0" t="n">
        <f aca="false">IF(P110="","",_xlfn.XLOOKUP(TRIM(P110),Metallic_Radius_Table!A:A,Metallic_Radius_Table!B:B))</f>
        <v>1.39</v>
      </c>
      <c r="R110" s="0" t="str">
        <f aca="false">IF(G110&gt;=1,   "Ferromagnetic / Ferrimagnetic",   IF(G110&gt;=0.05,      "Paramagnetic / Weakly magnetic",      "Antiferromagnetic / Diamagnetic"))</f>
        <v>Ferromagnetic / Ferrimagnetic</v>
      </c>
      <c r="U110" s="0" t="str">
        <f aca="false">IF(G110&gt;=1,
   "FM → PM (Curie-type)",
   IF(G110&lt;0.05,
      "AFM → PM (Néel-type)",
      "No long-range magnetic transition"))</f>
        <v>FM → PM (Curie-type)</v>
      </c>
    </row>
    <row r="111" customFormat="false" ht="13.8" hidden="false" customHeight="false" outlineLevel="0" collapsed="false">
      <c r="A111" s="0" t="s">
        <v>290</v>
      </c>
      <c r="B111" s="0" t="s">
        <v>291</v>
      </c>
      <c r="C111" s="0" t="s">
        <v>292</v>
      </c>
      <c r="D111" s="0" t="n">
        <v>-3.2073120405431</v>
      </c>
      <c r="E111" s="0" t="n">
        <v>0.007620192874997</v>
      </c>
      <c r="F111" s="0" t="n">
        <v>2.4089</v>
      </c>
      <c r="G111" s="0" t="n">
        <v>0</v>
      </c>
      <c r="H111" s="0" t="s">
        <v>163</v>
      </c>
      <c r="I111" s="2" t="b">
        <f aca="false">TRUE()</f>
        <v>1</v>
      </c>
      <c r="J111" s="0" t="str">
        <f aca="false">IF(AND(CODE(MID(B111,2,1))&gt;=97,CODE(MID(B111,2,1))&lt;=122),LEFT(B111,2),LEFT(B111,1))</f>
        <v>Ca</v>
      </c>
      <c r="K111" s="0" t="n">
        <f aca="false">IF(J111="","",_xlfn.XLOOKUP(TRIM(J111),Metallic_Radius_Table!A:A,Metallic_Radius_Table!B:B))</f>
        <v>1.97</v>
      </c>
      <c r="L111" s="0" t="str">
        <f aca="false">IF(ISNUMBER(SEARCH("La",B111)),"La",
 IF(ISNUMBER(SEARCH("Nd",B111)),"Nd",
 IF(ISNUMBER(SEARCH("Eu",B111)),"Eu",
 IF(ISNUMBER(SEARCH("Gd",B111)),"Gd",""))))</f>
        <v>La</v>
      </c>
      <c r="M111" s="0" t="n">
        <f aca="false">IF(L111="","",_xlfn.XLOOKUP(TRIM(L111),Metallic_Radius_Table!A:A,Metallic_Radius_Table!B:B))</f>
        <v>1.87</v>
      </c>
      <c r="N111" s="0" t="str">
        <f aca="false">TRIM(LEFT(C111,FIND(",",C111)-1))</f>
        <v>Mn</v>
      </c>
      <c r="O111" s="3" t="n">
        <f aca="false">IF(N111="","",_xlfn.XLOOKUP(TRIM(N111),Metallic_Radius_Table!A:A,Metallic_Radius_Table!B:B))</f>
        <v>1.27</v>
      </c>
      <c r="P111" s="0" t="str">
        <f aca="false">TRIM(MID(C111,FIND(",",C111)+1,5))</f>
        <v>Nb</v>
      </c>
      <c r="Q111" s="0" t="n">
        <f aca="false">IF(P111="","",_xlfn.XLOOKUP(TRIM(P111),Metallic_Radius_Table!A:A,Metallic_Radius_Table!B:B))</f>
        <v>1.46</v>
      </c>
      <c r="R111" s="0" t="str">
        <f aca="false">IF(G111&gt;=1,   "Ferromagnetic / Ferrimagnetic",   IF(G111&gt;=0.05,      "Paramagnetic / Weakly magnetic",      "Antiferromagnetic / Diamagnetic"))</f>
        <v>Antiferromagnetic / Diamagnetic</v>
      </c>
      <c r="U111" s="0" t="str">
        <f aca="false">IF(G111&gt;=1,
   "FM → PM (Curie-type)",
   IF(G111&lt;0.05,
      "AFM → PM (Néel-type)",
      "No long-range magnetic transition"))</f>
        <v>AFM → PM (Néel-type)</v>
      </c>
    </row>
    <row r="112" customFormat="false" ht="13.8" hidden="false" customHeight="false" outlineLevel="0" collapsed="false">
      <c r="A112" s="0" t="s">
        <v>293</v>
      </c>
      <c r="B112" s="0" t="s">
        <v>291</v>
      </c>
      <c r="C112" s="0" t="s">
        <v>292</v>
      </c>
      <c r="D112" s="0" t="n">
        <v>-3.1625631067931</v>
      </c>
      <c r="E112" s="0" t="n">
        <v>0.052369126624997</v>
      </c>
      <c r="F112" s="0" t="n">
        <v>2.44389999999999</v>
      </c>
      <c r="G112" s="0" t="n">
        <v>10.0000037</v>
      </c>
      <c r="H112" s="0" t="s">
        <v>163</v>
      </c>
      <c r="I112" s="2" t="b">
        <f aca="false">TRUE()</f>
        <v>1</v>
      </c>
      <c r="J112" s="0" t="str">
        <f aca="false">IF(AND(CODE(MID(B112,2,1))&gt;=97,CODE(MID(B112,2,1))&lt;=122),LEFT(B112,2),LEFT(B112,1))</f>
        <v>Ca</v>
      </c>
      <c r="K112" s="0" t="n">
        <f aca="false">IF(J112="","",_xlfn.XLOOKUP(TRIM(J112),Metallic_Radius_Table!A:A,Metallic_Radius_Table!B:B))</f>
        <v>1.97</v>
      </c>
      <c r="L112" s="0" t="str">
        <f aca="false">IF(ISNUMBER(SEARCH("La",B112)),"La",
 IF(ISNUMBER(SEARCH("Nd",B112)),"Nd",
 IF(ISNUMBER(SEARCH("Eu",B112)),"Eu",
 IF(ISNUMBER(SEARCH("Gd",B112)),"Gd",""))))</f>
        <v>La</v>
      </c>
      <c r="M112" s="0" t="n">
        <f aca="false">IF(L112="","",_xlfn.XLOOKUP(TRIM(L112),Metallic_Radius_Table!A:A,Metallic_Radius_Table!B:B))</f>
        <v>1.87</v>
      </c>
      <c r="N112" s="0" t="str">
        <f aca="false">TRIM(LEFT(C112,FIND(",",C112)-1))</f>
        <v>Mn</v>
      </c>
      <c r="O112" s="3" t="n">
        <f aca="false">IF(N112="","",_xlfn.XLOOKUP(TRIM(N112),Metallic_Radius_Table!A:A,Metallic_Radius_Table!B:B))</f>
        <v>1.27</v>
      </c>
      <c r="P112" s="0" t="str">
        <f aca="false">TRIM(MID(C112,FIND(",",C112)+1,5))</f>
        <v>Nb</v>
      </c>
      <c r="Q112" s="0" t="n">
        <f aca="false">IF(P112="","",_xlfn.XLOOKUP(TRIM(P112),Metallic_Radius_Table!A:A,Metallic_Radius_Table!B:B))</f>
        <v>1.46</v>
      </c>
      <c r="R112" s="0" t="str">
        <f aca="false">IF(G112&gt;=1,   "Ferromagnetic / Ferrimagnetic",   IF(G112&gt;=0.05,      "Paramagnetic / Weakly magnetic",      "Antiferromagnetic / Diamagnetic"))</f>
        <v>Ferromagnetic / Ferrimagnetic</v>
      </c>
      <c r="U112" s="0" t="str">
        <f aca="false">IF(G112&gt;=1,
   "FM → PM (Curie-type)",
   IF(G112&lt;0.05,
      "AFM → PM (Néel-type)",
      "No long-range magnetic transition"))</f>
        <v>FM → PM (Curie-type)</v>
      </c>
    </row>
    <row r="113" customFormat="false" ht="13.8" hidden="false" customHeight="false" outlineLevel="0" collapsed="false">
      <c r="A113" s="0" t="s">
        <v>294</v>
      </c>
      <c r="B113" s="0" t="s">
        <v>295</v>
      </c>
      <c r="C113" s="0" t="s">
        <v>296</v>
      </c>
      <c r="D113" s="0" t="n">
        <v>-3.053297722</v>
      </c>
      <c r="E113" s="0" t="n">
        <v>0.009486787375001</v>
      </c>
      <c r="F113" s="0" t="n">
        <v>0.713499999999999</v>
      </c>
      <c r="G113" s="4" t="n">
        <v>4.06E-005</v>
      </c>
      <c r="H113" s="0" t="s">
        <v>58</v>
      </c>
      <c r="I113" s="2" t="b">
        <f aca="false">TRUE()</f>
        <v>1</v>
      </c>
      <c r="J113" s="0" t="str">
        <f aca="false">IF(AND(CODE(MID(B113,2,1))&gt;=97,CODE(MID(B113,2,1))&lt;=122),LEFT(B113,2),LEFT(B113,1))</f>
        <v>Ca</v>
      </c>
      <c r="K113" s="0" t="n">
        <f aca="false">IF(J113="","",_xlfn.XLOOKUP(TRIM(J113),Metallic_Radius_Table!A:A,Metallic_Radius_Table!B:B))</f>
        <v>1.97</v>
      </c>
      <c r="L113" s="0" t="str">
        <f aca="false">IF(ISNUMBER(SEARCH("La",B113)),"La",
 IF(ISNUMBER(SEARCH("Nd",B113)),"Nd",
 IF(ISNUMBER(SEARCH("Eu",B113)),"Eu",
 IF(ISNUMBER(SEARCH("Gd",B113)),"Gd",""))))</f>
        <v>La</v>
      </c>
      <c r="M113" s="0" t="n">
        <f aca="false">IF(L113="","",_xlfn.XLOOKUP(TRIM(L113),Metallic_Radius_Table!A:A,Metallic_Radius_Table!B:B))</f>
        <v>1.87</v>
      </c>
      <c r="N113" s="0" t="str">
        <f aca="false">TRIM(LEFT(C113,FIND(",",C113)-1))</f>
        <v>Nb</v>
      </c>
      <c r="O113" s="3" t="n">
        <f aca="false">IF(N113="","",_xlfn.XLOOKUP(TRIM(N113),Metallic_Radius_Table!A:A,Metallic_Radius_Table!B:B))</f>
        <v>1.46</v>
      </c>
      <c r="P113" s="0" t="str">
        <f aca="false">TRIM(MID(C113,FIND(",",C113)+1,5))</f>
        <v>Co</v>
      </c>
      <c r="Q113" s="0" t="n">
        <f aca="false">IF(P113="","",_xlfn.XLOOKUP(TRIM(P113),Metallic_Radius_Table!A:A,Metallic_Radius_Table!B:B))</f>
        <v>1.25</v>
      </c>
      <c r="R113" s="0" t="str">
        <f aca="false">IF(G113&gt;=1,   "Ferromagnetic / Ferrimagnetic",   IF(G113&gt;=0.05,      "Paramagnetic / Weakly magnetic",      "Antiferromagnetic / Diamagnetic"))</f>
        <v>Antiferromagnetic / Diamagnetic</v>
      </c>
      <c r="U113" s="0" t="str">
        <f aca="false">IF(G113&gt;=1,
   "FM → PM (Curie-type)",
   IF(G113&lt;0.05,
      "AFM → PM (Néel-type)",
      "No long-range magnetic transition"))</f>
        <v>AFM → PM (Néel-type)</v>
      </c>
    </row>
    <row r="114" customFormat="false" ht="13.8" hidden="false" customHeight="false" outlineLevel="0" collapsed="false">
      <c r="A114" s="0" t="s">
        <v>297</v>
      </c>
      <c r="B114" s="0" t="s">
        <v>298</v>
      </c>
      <c r="C114" s="0" t="s">
        <v>225</v>
      </c>
      <c r="D114" s="0" t="n">
        <v>-3.29182253648333</v>
      </c>
      <c r="E114" s="0" t="n">
        <v>0.035145320874999</v>
      </c>
      <c r="F114" s="0" t="n">
        <v>2.10459999999999</v>
      </c>
      <c r="G114" s="4" t="n">
        <v>5E-007</v>
      </c>
      <c r="H114" s="0" t="s">
        <v>163</v>
      </c>
      <c r="I114" s="2" t="b">
        <f aca="false">TRUE()</f>
        <v>1</v>
      </c>
      <c r="J114" s="0" t="str">
        <f aca="false">IF(AND(CODE(MID(B114,2,1))&gt;=97,CODE(MID(B114,2,1))&lt;=122),LEFT(B114,2),LEFT(B114,1))</f>
        <v>Ca</v>
      </c>
      <c r="K114" s="0" t="n">
        <f aca="false">IF(J114="","",_xlfn.XLOOKUP(TRIM(J114),Metallic_Radius_Table!A:A,Metallic_Radius_Table!B:B))</f>
        <v>1.97</v>
      </c>
      <c r="L114" s="0" t="str">
        <f aca="false">IF(ISNUMBER(SEARCH("La",B114)),"La",
 IF(ISNUMBER(SEARCH("Nd",B114)),"Nd",
 IF(ISNUMBER(SEARCH("Eu",B114)),"Eu",
 IF(ISNUMBER(SEARCH("Gd",B114)),"Gd",""))))</f>
        <v>La</v>
      </c>
      <c r="M114" s="0" t="n">
        <f aca="false">IF(L114="","",_xlfn.XLOOKUP(TRIM(L114),Metallic_Radius_Table!A:A,Metallic_Radius_Table!B:B))</f>
        <v>1.87</v>
      </c>
      <c r="N114" s="0" t="str">
        <f aca="false">TRIM(LEFT(C114,FIND(",",C114)-1))</f>
        <v>Cr</v>
      </c>
      <c r="O114" s="3" t="n">
        <f aca="false">IF(N114="","",_xlfn.XLOOKUP(TRIM(N114),Metallic_Radius_Table!A:A,Metallic_Radius_Table!B:B))</f>
        <v>1.28</v>
      </c>
      <c r="P114" s="0" t="str">
        <f aca="false">TRIM(MID(C114,FIND(",",C114)+1,5))</f>
        <v>Ta</v>
      </c>
      <c r="Q114" s="0" t="n">
        <f aca="false">IF(P114="","",_xlfn.XLOOKUP(TRIM(P114),Metallic_Radius_Table!A:A,Metallic_Radius_Table!B:B))</f>
        <v>1.46</v>
      </c>
      <c r="R114" s="0" t="str">
        <f aca="false">IF(G114&gt;=1,   "Ferromagnetic / Ferrimagnetic",   IF(G114&gt;=0.05,      "Paramagnetic / Weakly magnetic",      "Antiferromagnetic / Diamagnetic"))</f>
        <v>Antiferromagnetic / Diamagnetic</v>
      </c>
      <c r="U114" s="0" t="str">
        <f aca="false">IF(G114&gt;=1,
   "FM → PM (Curie-type)",
   IF(G114&lt;0.05,
      "AFM → PM (Néel-type)",
      "No long-range magnetic transition"))</f>
        <v>AFM → PM (Néel-type)</v>
      </c>
    </row>
    <row r="115" customFormat="false" ht="13.8" hidden="false" customHeight="false" outlineLevel="0" collapsed="false">
      <c r="A115" s="0" t="s">
        <v>299</v>
      </c>
      <c r="B115" s="0" t="s">
        <v>300</v>
      </c>
      <c r="C115" s="0" t="s">
        <v>228</v>
      </c>
      <c r="D115" s="0" t="n">
        <v>-3.21720305373333</v>
      </c>
      <c r="E115" s="0" t="n">
        <v>0</v>
      </c>
      <c r="F115" s="0" t="n">
        <v>1.89719999999999</v>
      </c>
      <c r="G115" s="0" t="n">
        <v>8.0000221</v>
      </c>
      <c r="H115" s="0" t="s">
        <v>58</v>
      </c>
      <c r="I115" s="2" t="b">
        <f aca="false">TRUE()</f>
        <v>1</v>
      </c>
      <c r="J115" s="0" t="str">
        <f aca="false">IF(AND(CODE(MID(B115,2,1))&gt;=97,CODE(MID(B115,2,1))&lt;=122),LEFT(B115,2),LEFT(B115,1))</f>
        <v>Ca</v>
      </c>
      <c r="K115" s="0" t="n">
        <f aca="false">IF(J115="","",_xlfn.XLOOKUP(TRIM(J115),Metallic_Radius_Table!A:A,Metallic_Radius_Table!B:B))</f>
        <v>1.97</v>
      </c>
      <c r="L115" s="0" t="str">
        <f aca="false">IF(ISNUMBER(SEARCH("La",B115)),"La",
 IF(ISNUMBER(SEARCH("Nd",B115)),"Nd",
 IF(ISNUMBER(SEARCH("Eu",B115)),"Eu",
 IF(ISNUMBER(SEARCH("Gd",B115)),"Gd",""))))</f>
        <v>La</v>
      </c>
      <c r="M115" s="0" t="n">
        <f aca="false">IF(L115="","",_xlfn.XLOOKUP(TRIM(L115),Metallic_Radius_Table!A:A,Metallic_Radius_Table!B:B))</f>
        <v>1.87</v>
      </c>
      <c r="N115" s="0" t="str">
        <f aca="false">TRIM(LEFT(C115,FIND(",",C115)-1))</f>
        <v>Fe</v>
      </c>
      <c r="O115" s="3" t="n">
        <f aca="false">IF(N115="","",_xlfn.XLOOKUP(TRIM(N115),Metallic_Radius_Table!A:A,Metallic_Radius_Table!B:B))</f>
        <v>1.26</v>
      </c>
      <c r="P115" s="0" t="str">
        <f aca="false">TRIM(MID(C115,FIND(",",C115)+1,5))</f>
        <v>Ta</v>
      </c>
      <c r="Q115" s="0" t="n">
        <f aca="false">IF(P115="","",_xlfn.XLOOKUP(TRIM(P115),Metallic_Radius_Table!A:A,Metallic_Radius_Table!B:B))</f>
        <v>1.46</v>
      </c>
      <c r="R115" s="0" t="str">
        <f aca="false">IF(G115&gt;=1,   "Ferromagnetic / Ferrimagnetic",   IF(G115&gt;=0.05,      "Paramagnetic / Weakly magnetic",      "Antiferromagnetic / Diamagnetic"))</f>
        <v>Ferromagnetic / Ferrimagnetic</v>
      </c>
      <c r="U115" s="0" t="str">
        <f aca="false">IF(G115&gt;=1,
   "FM → PM (Curie-type)",
   IF(G115&lt;0.05,
      "AFM → PM (Néel-type)",
      "No long-range magnetic transition"))</f>
        <v>FM → PM (Curie-type)</v>
      </c>
    </row>
    <row r="116" customFormat="false" ht="13.8" hidden="false" customHeight="false" outlineLevel="0" collapsed="false">
      <c r="A116" s="0" t="s">
        <v>301</v>
      </c>
      <c r="B116" s="0" t="s">
        <v>302</v>
      </c>
      <c r="C116" s="0" t="s">
        <v>175</v>
      </c>
      <c r="D116" s="0" t="n">
        <v>-3.37671719458333</v>
      </c>
      <c r="E116" s="0" t="n">
        <v>0.006414756125</v>
      </c>
      <c r="F116" s="0" t="n">
        <v>2.68769999999999</v>
      </c>
      <c r="G116" s="4" t="n">
        <v>2E-006</v>
      </c>
      <c r="H116" s="0" t="s">
        <v>163</v>
      </c>
      <c r="I116" s="2" t="b">
        <f aca="false">TRUE()</f>
        <v>1</v>
      </c>
      <c r="J116" s="0" t="str">
        <f aca="false">IF(AND(CODE(MID(B116,2,1))&gt;=97,CODE(MID(B116,2,1))&lt;=122),LEFT(B116,2),LEFT(B116,1))</f>
        <v>Ca</v>
      </c>
      <c r="K116" s="0" t="n">
        <f aca="false">IF(J116="","",_xlfn.XLOOKUP(TRIM(J116),Metallic_Radius_Table!A:A,Metallic_Radius_Table!B:B))</f>
        <v>1.97</v>
      </c>
      <c r="L116" s="0" t="str">
        <f aca="false">IF(ISNUMBER(SEARCH("La",B116)),"La",
 IF(ISNUMBER(SEARCH("Nd",B116)),"Nd",
 IF(ISNUMBER(SEARCH("Eu",B116)),"Eu",
 IF(ISNUMBER(SEARCH("Gd",B116)),"Gd",""))))</f>
        <v>La</v>
      </c>
      <c r="M116" s="0" t="n">
        <f aca="false">IF(L116="","",_xlfn.XLOOKUP(TRIM(L116),Metallic_Radius_Table!A:A,Metallic_Radius_Table!B:B))</f>
        <v>1.87</v>
      </c>
      <c r="N116" s="0" t="str">
        <f aca="false">TRIM(LEFT(C116,FIND(",",C116)-1))</f>
        <v>Cr</v>
      </c>
      <c r="O116" s="3" t="n">
        <f aca="false">IF(N116="","",_xlfn.XLOOKUP(TRIM(N116),Metallic_Radius_Table!A:A,Metallic_Radius_Table!B:B))</f>
        <v>1.28</v>
      </c>
      <c r="P116" s="0" t="str">
        <f aca="false">TRIM(MID(C116,FIND(",",C116)+1,5))</f>
        <v>Ti</v>
      </c>
      <c r="Q116" s="0" t="n">
        <f aca="false">IF(P116="","",_xlfn.XLOOKUP(TRIM(P116),Metallic_Radius_Table!A:A,Metallic_Radius_Table!B:B))</f>
        <v>1.47</v>
      </c>
      <c r="R116" s="0" t="str">
        <f aca="false">IF(G116&gt;=1,   "Ferromagnetic / Ferrimagnetic",   IF(G116&gt;=0.05,      "Paramagnetic / Weakly magnetic",      "Antiferromagnetic / Diamagnetic"))</f>
        <v>Antiferromagnetic / Diamagnetic</v>
      </c>
      <c r="U116" s="0" t="str">
        <f aca="false">IF(G116&gt;=1,
   "FM → PM (Curie-type)",
   IF(G116&lt;0.05,
      "AFM → PM (Néel-type)",
      "No long-range magnetic transition"))</f>
        <v>AFM → PM (Néel-type)</v>
      </c>
    </row>
    <row r="117" customFormat="false" ht="13.8" hidden="false" customHeight="false" outlineLevel="0" collapsed="false">
      <c r="A117" s="0" t="s">
        <v>303</v>
      </c>
      <c r="B117" s="0" t="s">
        <v>304</v>
      </c>
      <c r="C117" s="0" t="s">
        <v>180</v>
      </c>
      <c r="D117" s="0" t="n">
        <v>-3.20054750483333</v>
      </c>
      <c r="E117" s="0" t="n">
        <v>0.00395897575</v>
      </c>
      <c r="F117" s="0" t="n">
        <v>0</v>
      </c>
      <c r="G117" s="4" t="n">
        <v>1E-006</v>
      </c>
      <c r="H117" s="0" t="s">
        <v>163</v>
      </c>
      <c r="I117" s="2" t="b">
        <f aca="false">TRUE()</f>
        <v>1</v>
      </c>
      <c r="J117" s="0" t="str">
        <f aca="false">IF(AND(CODE(MID(B117,2,1))&gt;=97,CODE(MID(B117,2,1))&lt;=122),LEFT(B117,2),LEFT(B117,1))</f>
        <v>Ca</v>
      </c>
      <c r="K117" s="0" t="n">
        <f aca="false">IF(J117="","",_xlfn.XLOOKUP(TRIM(J117),Metallic_Radius_Table!A:A,Metallic_Radius_Table!B:B))</f>
        <v>1.97</v>
      </c>
      <c r="L117" s="0" t="str">
        <f aca="false">IF(ISNUMBER(SEARCH("La",B117)),"La",
 IF(ISNUMBER(SEARCH("Nd",B117)),"Nd",
 IF(ISNUMBER(SEARCH("Eu",B117)),"Eu",
 IF(ISNUMBER(SEARCH("Gd",B117)),"Gd",""))))</f>
        <v>La</v>
      </c>
      <c r="M117" s="0" t="n">
        <f aca="false">IF(L117="","",_xlfn.XLOOKUP(TRIM(L117),Metallic_Radius_Table!A:A,Metallic_Radius_Table!B:B))</f>
        <v>1.87</v>
      </c>
      <c r="N117" s="0" t="str">
        <f aca="false">TRIM(LEFT(C117,FIND(",",C117)-1))</f>
        <v>Fe</v>
      </c>
      <c r="O117" s="3" t="n">
        <f aca="false">IF(N117="","",_xlfn.XLOOKUP(TRIM(N117),Metallic_Radius_Table!A:A,Metallic_Radius_Table!B:B))</f>
        <v>1.26</v>
      </c>
      <c r="P117" s="0" t="str">
        <f aca="false">TRIM(MID(C117,FIND(",",C117)+1,5))</f>
        <v>Ti</v>
      </c>
      <c r="Q117" s="0" t="n">
        <f aca="false">IF(P117="","",_xlfn.XLOOKUP(TRIM(P117),Metallic_Radius_Table!A:A,Metallic_Radius_Table!B:B))</f>
        <v>1.47</v>
      </c>
      <c r="R117" s="0" t="str">
        <f aca="false">IF(G117&gt;=1,   "Ferromagnetic / Ferrimagnetic",   IF(G117&gt;=0.05,      "Paramagnetic / Weakly magnetic",      "Antiferromagnetic / Diamagnetic"))</f>
        <v>Antiferromagnetic / Diamagnetic</v>
      </c>
      <c r="U117" s="0" t="str">
        <f aca="false">IF(G117&gt;=1,
   "FM → PM (Curie-type)",
   IF(G117&lt;0.05,
      "AFM → PM (Néel-type)",
      "No long-range magnetic transition"))</f>
        <v>AFM → PM (Néel-type)</v>
      </c>
    </row>
    <row r="118" customFormat="false" ht="13.8" hidden="false" customHeight="false" outlineLevel="0" collapsed="false">
      <c r="A118" s="0" t="s">
        <v>305</v>
      </c>
      <c r="B118" s="0" t="s">
        <v>306</v>
      </c>
      <c r="C118" s="0" t="s">
        <v>202</v>
      </c>
      <c r="D118" s="0" t="n">
        <v>-3.26121205637643</v>
      </c>
      <c r="E118" s="0" t="n">
        <v>0.088569546619055</v>
      </c>
      <c r="F118" s="0" t="n">
        <v>0.2488</v>
      </c>
      <c r="G118" s="0" t="n">
        <v>0</v>
      </c>
      <c r="H118" s="0" t="s">
        <v>163</v>
      </c>
      <c r="I118" s="2" t="b">
        <f aca="false">TRUE()</f>
        <v>1</v>
      </c>
      <c r="J118" s="0" t="str">
        <f aca="false">IF(AND(CODE(MID(B118,2,1))&gt;=97,CODE(MID(B118,2,1))&lt;=122),LEFT(B118,2),LEFT(B118,1))</f>
        <v>Ca</v>
      </c>
      <c r="K118" s="0" t="n">
        <f aca="false">IF(J118="","",_xlfn.XLOOKUP(TRIM(J118),Metallic_Radius_Table!A:A,Metallic_Radius_Table!B:B))</f>
        <v>1.97</v>
      </c>
      <c r="L118" s="0" t="str">
        <f aca="false">IF(ISNUMBER(SEARCH("La",B118)),"La",
 IF(ISNUMBER(SEARCH("Nd",B118)),"Nd",
 IF(ISNUMBER(SEARCH("Eu",B118)),"Eu",
 IF(ISNUMBER(SEARCH("Gd",B118)),"Gd",""))))</f>
        <v>La</v>
      </c>
      <c r="M118" s="0" t="n">
        <f aca="false">IF(L118="","",_xlfn.XLOOKUP(TRIM(L118),Metallic_Radius_Table!A:A,Metallic_Radius_Table!B:B))</f>
        <v>1.87</v>
      </c>
      <c r="N118" s="0" t="str">
        <f aca="false">TRIM(LEFT(C118,FIND(",",C118)-1))</f>
        <v>Mn</v>
      </c>
      <c r="O118" s="3" t="n">
        <f aca="false">IF(N118="","",_xlfn.XLOOKUP(TRIM(N118),Metallic_Radius_Table!A:A,Metallic_Radius_Table!B:B))</f>
        <v>1.27</v>
      </c>
      <c r="P118" s="0" t="str">
        <f aca="false">TRIM(MID(C118,FIND(",",C118)+1,5))</f>
        <v>Ti</v>
      </c>
      <c r="Q118" s="0" t="n">
        <f aca="false">IF(P118="","",_xlfn.XLOOKUP(TRIM(P118),Metallic_Radius_Table!A:A,Metallic_Radius_Table!B:B))</f>
        <v>1.47</v>
      </c>
      <c r="R118" s="0" t="str">
        <f aca="false">IF(G118&gt;=1,   "Ferromagnetic / Ferrimagnetic",   IF(G118&gt;=0.05,      "Paramagnetic / Weakly magnetic",      "Antiferromagnetic / Diamagnetic"))</f>
        <v>Antiferromagnetic / Diamagnetic</v>
      </c>
      <c r="U118" s="0" t="str">
        <f aca="false">IF(G118&gt;=1,
   "FM → PM (Curie-type)",
   IF(G118&lt;0.05,
      "AFM → PM (Néel-type)",
      "No long-range magnetic transition"))</f>
        <v>AFM → PM (Néel-type)</v>
      </c>
    </row>
    <row r="119" customFormat="false" ht="13.8" hidden="false" customHeight="false" outlineLevel="0" collapsed="false">
      <c r="A119" s="0" t="s">
        <v>307</v>
      </c>
      <c r="B119" s="0" t="s">
        <v>308</v>
      </c>
      <c r="C119" s="0" t="s">
        <v>309</v>
      </c>
      <c r="D119" s="0" t="n">
        <v>-3.06073793449999</v>
      </c>
      <c r="E119" s="0" t="n">
        <v>0.012913291580348</v>
      </c>
      <c r="F119" s="0" t="n">
        <v>1.5655</v>
      </c>
      <c r="G119" s="0" t="n">
        <v>3.9962311</v>
      </c>
      <c r="H119" s="0" t="s">
        <v>163</v>
      </c>
      <c r="I119" s="2" t="b">
        <f aca="false">TRUE()</f>
        <v>1</v>
      </c>
      <c r="J119" s="0" t="str">
        <f aca="false">IF(AND(CODE(MID(B119,2,1))&gt;=97,CODE(MID(B119,2,1))&lt;=122),LEFT(B119,2),LEFT(B119,1))</f>
        <v>Ca</v>
      </c>
      <c r="K119" s="0" t="n">
        <f aca="false">IF(J119="","",_xlfn.XLOOKUP(TRIM(J119),Metallic_Radius_Table!A:A,Metallic_Radius_Table!B:B))</f>
        <v>1.97</v>
      </c>
      <c r="L119" s="0" t="str">
        <f aca="false">IF(ISNUMBER(SEARCH("La",B119)),"La",
 IF(ISNUMBER(SEARCH("Nd",B119)),"Nd",
 IF(ISNUMBER(SEARCH("Eu",B119)),"Eu",
 IF(ISNUMBER(SEARCH("Gd",B119)),"Gd",""))))</f>
        <v>La</v>
      </c>
      <c r="M119" s="0" t="n">
        <f aca="false">IF(L119="","",_xlfn.XLOOKUP(TRIM(L119),Metallic_Radius_Table!A:A,Metallic_Radius_Table!B:B))</f>
        <v>1.87</v>
      </c>
      <c r="N119" s="0" t="str">
        <f aca="false">TRIM(LEFT(C119,FIND(",",C119)-1))</f>
        <v>Cr</v>
      </c>
      <c r="O119" s="3" t="n">
        <f aca="false">IF(N119="","",_xlfn.XLOOKUP(TRIM(N119),Metallic_Radius_Table!A:A,Metallic_Radius_Table!B:B))</f>
        <v>1.28</v>
      </c>
      <c r="P119" s="0" t="str">
        <f aca="false">TRIM(MID(C119,FIND(",",C119)+1,5))</f>
        <v>V</v>
      </c>
      <c r="Q119" s="0" t="n">
        <f aca="false">IF(P119="","",_xlfn.XLOOKUP(TRIM(P119),Metallic_Radius_Table!A:A,Metallic_Radius_Table!B:B))</f>
        <v>1.34</v>
      </c>
      <c r="R119" s="0" t="str">
        <f aca="false">IF(G119&gt;=1,   "Ferromagnetic / Ferrimagnetic",   IF(G119&gt;=0.05,      "Paramagnetic / Weakly magnetic",      "Antiferromagnetic / Diamagnetic"))</f>
        <v>Ferromagnetic / Ferrimagnetic</v>
      </c>
      <c r="U119" s="0" t="str">
        <f aca="false">IF(G119&gt;=1,
   "FM → PM (Curie-type)",
   IF(G119&lt;0.05,
      "AFM → PM (Néel-type)",
      "No long-range magnetic transition"))</f>
        <v>FM → PM (Curie-type)</v>
      </c>
    </row>
    <row r="120" customFormat="false" ht="13.8" hidden="false" customHeight="false" outlineLevel="0" collapsed="false">
      <c r="A120" s="0" t="s">
        <v>310</v>
      </c>
      <c r="B120" s="0" t="s">
        <v>311</v>
      </c>
      <c r="C120" s="0" t="s">
        <v>241</v>
      </c>
      <c r="D120" s="0" t="n">
        <v>-2.888186702</v>
      </c>
      <c r="E120" s="0" t="n">
        <v>0.012774371857144</v>
      </c>
      <c r="F120" s="0" t="n">
        <v>0</v>
      </c>
      <c r="G120" s="0" t="n">
        <v>10.0000008</v>
      </c>
      <c r="H120" s="0" t="s">
        <v>163</v>
      </c>
      <c r="I120" s="2" t="b">
        <f aca="false">TRUE()</f>
        <v>1</v>
      </c>
      <c r="J120" s="0" t="str">
        <f aca="false">IF(AND(CODE(MID(B120,2,1))&gt;=97,CODE(MID(B120,2,1))&lt;=122),LEFT(B120,2),LEFT(B120,1))</f>
        <v>Ca</v>
      </c>
      <c r="K120" s="0" t="n">
        <f aca="false">IF(J120="","",_xlfn.XLOOKUP(TRIM(J120),Metallic_Radius_Table!A:A,Metallic_Radius_Table!B:B))</f>
        <v>1.97</v>
      </c>
      <c r="L120" s="0" t="str">
        <f aca="false">IF(ISNUMBER(SEARCH("La",B120)),"La",
 IF(ISNUMBER(SEARCH("Nd",B120)),"Nd",
 IF(ISNUMBER(SEARCH("Eu",B120)),"Eu",
 IF(ISNUMBER(SEARCH("Gd",B120)),"Gd",""))))</f>
        <v>La</v>
      </c>
      <c r="M120" s="0" t="n">
        <f aca="false">IF(L120="","",_xlfn.XLOOKUP(TRIM(L120),Metallic_Radius_Table!A:A,Metallic_Radius_Table!B:B))</f>
        <v>1.87</v>
      </c>
      <c r="N120" s="0" t="str">
        <f aca="false">TRIM(LEFT(C120,FIND(",",C120)-1))</f>
        <v>Fe</v>
      </c>
      <c r="O120" s="3" t="n">
        <f aca="false">IF(N120="","",_xlfn.XLOOKUP(TRIM(N120),Metallic_Radius_Table!A:A,Metallic_Radius_Table!B:B))</f>
        <v>1.26</v>
      </c>
      <c r="P120" s="0" t="str">
        <f aca="false">TRIM(MID(C120,FIND(",",C120)+1,5))</f>
        <v>V</v>
      </c>
      <c r="Q120" s="0" t="n">
        <f aca="false">IF(P120="","",_xlfn.XLOOKUP(TRIM(P120),Metallic_Radius_Table!A:A,Metallic_Radius_Table!B:B))</f>
        <v>1.34</v>
      </c>
      <c r="R120" s="0" t="str">
        <f aca="false">IF(G120&gt;=1,   "Ferromagnetic / Ferrimagnetic",   IF(G120&gt;=0.05,      "Paramagnetic / Weakly magnetic",      "Antiferromagnetic / Diamagnetic"))</f>
        <v>Ferromagnetic / Ferrimagnetic</v>
      </c>
      <c r="U120" s="0" t="str">
        <f aca="false">IF(G120&gt;=1,
   "FM → PM (Curie-type)",
   IF(G120&lt;0.05,
      "AFM → PM (Néel-type)",
      "No long-range magnetic transition"))</f>
        <v>FM → PM (Curie-type)</v>
      </c>
    </row>
    <row r="121" customFormat="false" ht="13.8" hidden="false" customHeight="false" outlineLevel="0" collapsed="false">
      <c r="A121" s="0" t="s">
        <v>312</v>
      </c>
      <c r="B121" s="0" t="s">
        <v>311</v>
      </c>
      <c r="C121" s="0" t="s">
        <v>241</v>
      </c>
      <c r="D121" s="0" t="n">
        <v>-2.7651151875</v>
      </c>
      <c r="E121" s="0" t="n">
        <v>0.135845886357143</v>
      </c>
      <c r="F121" s="0" t="n">
        <v>1.0776</v>
      </c>
      <c r="G121" s="0" t="n">
        <v>6.0000195</v>
      </c>
      <c r="H121" s="0" t="s">
        <v>111</v>
      </c>
      <c r="I121" s="2" t="b">
        <f aca="false">TRUE()</f>
        <v>1</v>
      </c>
      <c r="J121" s="0" t="str">
        <f aca="false">IF(AND(CODE(MID(B121,2,1))&gt;=97,CODE(MID(B121,2,1))&lt;=122),LEFT(B121,2),LEFT(B121,1))</f>
        <v>Ca</v>
      </c>
      <c r="K121" s="0" t="n">
        <f aca="false">IF(J121="","",_xlfn.XLOOKUP(TRIM(J121),Metallic_Radius_Table!A:A,Metallic_Radius_Table!B:B))</f>
        <v>1.97</v>
      </c>
      <c r="L121" s="0" t="str">
        <f aca="false">IF(ISNUMBER(SEARCH("La",B121)),"La",
 IF(ISNUMBER(SEARCH("Nd",B121)),"Nd",
 IF(ISNUMBER(SEARCH("Eu",B121)),"Eu",
 IF(ISNUMBER(SEARCH("Gd",B121)),"Gd",""))))</f>
        <v>La</v>
      </c>
      <c r="M121" s="0" t="n">
        <f aca="false">IF(L121="","",_xlfn.XLOOKUP(TRIM(L121),Metallic_Radius_Table!A:A,Metallic_Radius_Table!B:B))</f>
        <v>1.87</v>
      </c>
      <c r="N121" s="0" t="str">
        <f aca="false">TRIM(LEFT(C121,FIND(",",C121)-1))</f>
        <v>Fe</v>
      </c>
      <c r="O121" s="3" t="n">
        <f aca="false">IF(N121="","",_xlfn.XLOOKUP(TRIM(N121),Metallic_Radius_Table!A:A,Metallic_Radius_Table!B:B))</f>
        <v>1.26</v>
      </c>
      <c r="P121" s="0" t="str">
        <f aca="false">TRIM(MID(C121,FIND(",",C121)+1,5))</f>
        <v>V</v>
      </c>
      <c r="Q121" s="0" t="n">
        <f aca="false">IF(P121="","",_xlfn.XLOOKUP(TRIM(P121),Metallic_Radius_Table!A:A,Metallic_Radius_Table!B:B))</f>
        <v>1.34</v>
      </c>
      <c r="R121" s="0" t="str">
        <f aca="false">IF(G121&gt;=1,   "Ferromagnetic / Ferrimagnetic",   IF(G121&gt;=0.05,      "Paramagnetic / Weakly magnetic",      "Antiferromagnetic / Diamagnetic"))</f>
        <v>Ferromagnetic / Ferrimagnetic</v>
      </c>
      <c r="U121" s="0" t="str">
        <f aca="false">IF(G121&gt;=1,
   "FM → PM (Curie-type)",
   IF(G121&lt;0.05,
      "AFM → PM (Néel-type)",
      "No long-range magnetic transition"))</f>
        <v>FM → PM (Curie-type)</v>
      </c>
    </row>
    <row r="122" customFormat="false" ht="13.8" hidden="false" customHeight="false" outlineLevel="0" collapsed="false">
      <c r="A122" s="0" t="s">
        <v>313</v>
      </c>
      <c r="B122" s="0" t="s">
        <v>311</v>
      </c>
      <c r="C122" s="0" t="s">
        <v>241</v>
      </c>
      <c r="D122" s="0" t="n">
        <v>-2.87007376883333</v>
      </c>
      <c r="E122" s="0" t="n">
        <v>0.030887305023812</v>
      </c>
      <c r="F122" s="0" t="n">
        <v>0.1109</v>
      </c>
      <c r="G122" s="0" t="n">
        <v>18.0006479</v>
      </c>
      <c r="H122" s="0" t="s">
        <v>58</v>
      </c>
      <c r="I122" s="2" t="b">
        <f aca="false">TRUE()</f>
        <v>1</v>
      </c>
      <c r="J122" s="0" t="str">
        <f aca="false">IF(AND(CODE(MID(B122,2,1))&gt;=97,CODE(MID(B122,2,1))&lt;=122),LEFT(B122,2),LEFT(B122,1))</f>
        <v>Ca</v>
      </c>
      <c r="K122" s="0" t="n">
        <f aca="false">IF(J122="","",_xlfn.XLOOKUP(TRIM(J122),Metallic_Radius_Table!A:A,Metallic_Radius_Table!B:B))</f>
        <v>1.97</v>
      </c>
      <c r="L122" s="0" t="str">
        <f aca="false">IF(ISNUMBER(SEARCH("La",B122)),"La",
 IF(ISNUMBER(SEARCH("Nd",B122)),"Nd",
 IF(ISNUMBER(SEARCH("Eu",B122)),"Eu",
 IF(ISNUMBER(SEARCH("Gd",B122)),"Gd",""))))</f>
        <v>La</v>
      </c>
      <c r="M122" s="0" t="n">
        <f aca="false">IF(L122="","",_xlfn.XLOOKUP(TRIM(L122),Metallic_Radius_Table!A:A,Metallic_Radius_Table!B:B))</f>
        <v>1.87</v>
      </c>
      <c r="N122" s="0" t="str">
        <f aca="false">TRIM(LEFT(C122,FIND(",",C122)-1))</f>
        <v>Fe</v>
      </c>
      <c r="O122" s="3" t="n">
        <f aca="false">IF(N122="","",_xlfn.XLOOKUP(TRIM(N122),Metallic_Radius_Table!A:A,Metallic_Radius_Table!B:B))</f>
        <v>1.26</v>
      </c>
      <c r="P122" s="0" t="str">
        <f aca="false">TRIM(MID(C122,FIND(",",C122)+1,5))</f>
        <v>V</v>
      </c>
      <c r="Q122" s="0" t="n">
        <f aca="false">IF(P122="","",_xlfn.XLOOKUP(TRIM(P122),Metallic_Radius_Table!A:A,Metallic_Radius_Table!B:B))</f>
        <v>1.34</v>
      </c>
      <c r="R122" s="0" t="str">
        <f aca="false">IF(G122&gt;=1,   "Ferromagnetic / Ferrimagnetic",   IF(G122&gt;=0.05,      "Paramagnetic / Weakly magnetic",      "Antiferromagnetic / Diamagnetic"))</f>
        <v>Ferromagnetic / Ferrimagnetic</v>
      </c>
      <c r="U122" s="0" t="str">
        <f aca="false">IF(G122&gt;=1,
   "FM → PM (Curie-type)",
   IF(G122&lt;0.05,
      "AFM → PM (Néel-type)",
      "No long-range magnetic transition"))</f>
        <v>FM → PM (Curie-type)</v>
      </c>
    </row>
    <row r="123" customFormat="false" ht="13.8" hidden="false" customHeight="false" outlineLevel="0" collapsed="false">
      <c r="A123" s="0" t="s">
        <v>314</v>
      </c>
      <c r="B123" s="0" t="s">
        <v>315</v>
      </c>
      <c r="C123" s="0" t="s">
        <v>286</v>
      </c>
      <c r="D123" s="0" t="n">
        <v>-2.0965567557931</v>
      </c>
      <c r="E123" s="0" t="n">
        <v>0.014174021791656</v>
      </c>
      <c r="F123" s="0" t="n">
        <v>0.704899999999999</v>
      </c>
      <c r="G123" s="0" t="n">
        <v>15.9977427</v>
      </c>
      <c r="H123" s="0" t="s">
        <v>163</v>
      </c>
      <c r="I123" s="2" t="b">
        <f aca="false">TRUE()</f>
        <v>1</v>
      </c>
      <c r="J123" s="0" t="str">
        <f aca="false">IF(AND(CODE(MID(B123,2,1))&gt;=97,CODE(MID(B123,2,1))&lt;=122),LEFT(B123,2),LEFT(B123,1))</f>
        <v>Ca</v>
      </c>
      <c r="K123" s="0" t="n">
        <f aca="false">IF(J123="","",_xlfn.XLOOKUP(TRIM(J123),Metallic_Radius_Table!A:A,Metallic_Radius_Table!B:B))</f>
        <v>1.97</v>
      </c>
      <c r="L123" s="0" t="str">
        <f aca="false">IF(ISNUMBER(SEARCH("La",B123)),"La",
 IF(ISNUMBER(SEARCH("Nd",B123)),"Nd",
 IF(ISNUMBER(SEARCH("Eu",B123)),"Eu",
 IF(ISNUMBER(SEARCH("Gd",B123)),"Gd",""))))</f>
        <v/>
      </c>
      <c r="M123" s="0" t="str">
        <f aca="false">IF(L123="","",_xlfn.XLOOKUP(TRIM(L123),Metallic_Radius_Table!A:A,Metallic_Radius_Table!B:B))</f>
        <v/>
      </c>
      <c r="N123" s="0" t="str">
        <f aca="false">TRIM(LEFT(C123,FIND(",",C123)-1))</f>
        <v>Fe</v>
      </c>
      <c r="O123" s="3" t="n">
        <f aca="false">IF(N123="","",_xlfn.XLOOKUP(TRIM(N123),Metallic_Radius_Table!A:A,Metallic_Radius_Table!B:B))</f>
        <v>1.26</v>
      </c>
      <c r="P123" s="0" t="str">
        <f aca="false">TRIM(MID(C123,FIND(",",C123)+1,5))</f>
        <v>Mn</v>
      </c>
      <c r="Q123" s="0" t="n">
        <f aca="false">IF(P123="","",_xlfn.XLOOKUP(TRIM(P123),Metallic_Radius_Table!A:A,Metallic_Radius_Table!B:B))</f>
        <v>1.27</v>
      </c>
      <c r="R123" s="0" t="str">
        <f aca="false">IF(G123&gt;=1,   "Ferromagnetic / Ferrimagnetic",   IF(G123&gt;=0.05,      "Paramagnetic / Weakly magnetic",      "Antiferromagnetic / Diamagnetic"))</f>
        <v>Ferromagnetic / Ferrimagnetic</v>
      </c>
      <c r="U123" s="0" t="str">
        <f aca="false">IF(G123&gt;=1,
   "FM → PM (Curie-type)",
   IF(G123&lt;0.05,
      "AFM → PM (Néel-type)",
      "No long-range magnetic transition"))</f>
        <v>FM → PM (Curie-type)</v>
      </c>
    </row>
    <row r="124" customFormat="false" ht="13.8" hidden="false" customHeight="false" outlineLevel="0" collapsed="false">
      <c r="A124" s="0" t="s">
        <v>316</v>
      </c>
      <c r="B124" s="0" t="s">
        <v>317</v>
      </c>
      <c r="C124" s="0" t="s">
        <v>318</v>
      </c>
      <c r="D124" s="0" t="n">
        <v>-1.76091609532567</v>
      </c>
      <c r="E124" s="0" t="n">
        <v>0.08423449462963</v>
      </c>
      <c r="F124" s="0" t="n">
        <v>0</v>
      </c>
      <c r="G124" s="0" t="n">
        <v>4.4633784</v>
      </c>
      <c r="H124" s="0" t="s">
        <v>163</v>
      </c>
      <c r="I124" s="2" t="b">
        <f aca="false">TRUE()</f>
        <v>1</v>
      </c>
      <c r="J124" s="0" t="str">
        <f aca="false">IF(AND(CODE(MID(B124,2,1))&gt;=97,CODE(MID(B124,2,1))&lt;=122),LEFT(B124,2),LEFT(B124,1))</f>
        <v>Ca</v>
      </c>
      <c r="K124" s="0" t="n">
        <f aca="false">IF(J124="","",_xlfn.XLOOKUP(TRIM(J124),Metallic_Radius_Table!A:A,Metallic_Radius_Table!B:B))</f>
        <v>1.97</v>
      </c>
      <c r="L124" s="0" t="str">
        <f aca="false">IF(ISNUMBER(SEARCH("La",B124)),"La",
 IF(ISNUMBER(SEARCH("Nd",B124)),"Nd",
 IF(ISNUMBER(SEARCH("Eu",B124)),"Eu",
 IF(ISNUMBER(SEARCH("Gd",B124)),"Gd",""))))</f>
        <v/>
      </c>
      <c r="M124" s="0" t="str">
        <f aca="false">IF(L124="","",_xlfn.XLOOKUP(TRIM(L124),Metallic_Radius_Table!A:A,Metallic_Radius_Table!B:B))</f>
        <v/>
      </c>
      <c r="N124" s="0" t="str">
        <f aca="false">TRIM(LEFT(C124,FIND(",",C124)-1))</f>
        <v>Mn</v>
      </c>
      <c r="O124" s="3" t="n">
        <f aca="false">IF(N124="","",_xlfn.XLOOKUP(TRIM(N124),Metallic_Radius_Table!A:A,Metallic_Radius_Table!B:B))</f>
        <v>1.27</v>
      </c>
      <c r="P124" s="0" t="str">
        <f aca="false">TRIM(MID(C124,FIND(",",C124)+1,5))</f>
        <v>Ir</v>
      </c>
      <c r="Q124" s="0" t="n">
        <f aca="false">IF(P124="","",_xlfn.XLOOKUP(TRIM(P124),Metallic_Radius_Table!A:A,Metallic_Radius_Table!B:B))</f>
        <v>1.36</v>
      </c>
      <c r="R124" s="0" t="str">
        <f aca="false">IF(G124&gt;=1,   "Ferromagnetic / Ferrimagnetic",   IF(G124&gt;=0.05,      "Paramagnetic / Weakly magnetic",      "Antiferromagnetic / Diamagnetic"))</f>
        <v>Ferromagnetic / Ferrimagnetic</v>
      </c>
      <c r="U124" s="0" t="str">
        <f aca="false">IF(G124&gt;=1,
   "FM → PM (Curie-type)",
   IF(G124&lt;0.05,
      "AFM → PM (Néel-type)",
      "No long-range magnetic transition"))</f>
        <v>FM → PM (Curie-type)</v>
      </c>
    </row>
    <row r="125" customFormat="false" ht="13.8" hidden="false" customHeight="false" outlineLevel="0" collapsed="false">
      <c r="A125" s="0" t="s">
        <v>319</v>
      </c>
      <c r="B125" s="0" t="s">
        <v>320</v>
      </c>
      <c r="C125" s="0" t="s">
        <v>79</v>
      </c>
      <c r="D125" s="0" t="n">
        <v>-2.313512528659</v>
      </c>
      <c r="E125" s="0" t="n">
        <v>0.111371464351847</v>
      </c>
      <c r="F125" s="0" t="n">
        <v>0.855699999999999</v>
      </c>
      <c r="G125" s="4" t="n">
        <v>8.3E-006</v>
      </c>
      <c r="H125" s="0" t="s">
        <v>163</v>
      </c>
      <c r="I125" s="2" t="b">
        <f aca="false">TRUE()</f>
        <v>1</v>
      </c>
      <c r="J125" s="0" t="str">
        <f aca="false">IF(AND(CODE(MID(B125,2,1))&gt;=97,CODE(MID(B125,2,1))&lt;=122),LEFT(B125,2),LEFT(B125,1))</f>
        <v>Ca</v>
      </c>
      <c r="K125" s="0" t="n">
        <f aca="false">IF(J125="","",_xlfn.XLOOKUP(TRIM(J125),Metallic_Radius_Table!A:A,Metallic_Radius_Table!B:B))</f>
        <v>1.97</v>
      </c>
      <c r="L125" s="0" t="str">
        <f aca="false">IF(ISNUMBER(SEARCH("La",B125)),"La",
 IF(ISNUMBER(SEARCH("Nd",B125)),"Nd",
 IF(ISNUMBER(SEARCH("Eu",B125)),"Eu",
 IF(ISNUMBER(SEARCH("Gd",B125)),"Gd",""))))</f>
        <v/>
      </c>
      <c r="M125" s="0" t="str">
        <f aca="false">IF(L125="","",_xlfn.XLOOKUP(TRIM(L125),Metallic_Radius_Table!A:A,Metallic_Radius_Table!B:B))</f>
        <v/>
      </c>
      <c r="N125" s="0" t="str">
        <f aca="false">TRIM(LEFT(C125,FIND(",",C125)-1))</f>
        <v>Mn</v>
      </c>
      <c r="O125" s="3" t="n">
        <f aca="false">IF(N125="","",_xlfn.XLOOKUP(TRIM(N125),Metallic_Radius_Table!A:A,Metallic_Radius_Table!B:B))</f>
        <v>1.27</v>
      </c>
      <c r="P125" s="0" t="str">
        <f aca="false">TRIM(MID(C125,FIND(",",C125)+1,5))</f>
        <v>W</v>
      </c>
      <c r="Q125" s="0" t="n">
        <f aca="false">IF(P125="","",_xlfn.XLOOKUP(TRIM(P125),Metallic_Radius_Table!A:A,Metallic_Radius_Table!B:B))</f>
        <v>1.41</v>
      </c>
      <c r="R125" s="0" t="str">
        <f aca="false">IF(G125&gt;=1,   "Ferromagnetic / Ferrimagnetic",   IF(G125&gt;=0.05,      "Paramagnetic / Weakly magnetic",      "Antiferromagnetic / Diamagnetic"))</f>
        <v>Antiferromagnetic / Diamagnetic</v>
      </c>
      <c r="U125" s="0" t="str">
        <f aca="false">IF(G125&gt;=1,
   "FM → PM (Curie-type)",
   IF(G125&lt;0.05,
      "AFM → PM (Néel-type)",
      "No long-range magnetic transition"))</f>
        <v>AFM → PM (Néel-type)</v>
      </c>
    </row>
    <row r="126" customFormat="false" ht="13.8" hidden="false" customHeight="false" outlineLevel="0" collapsed="false">
      <c r="A126" s="0" t="s">
        <v>321</v>
      </c>
      <c r="B126" s="0" t="s">
        <v>322</v>
      </c>
      <c r="C126" s="0" t="s">
        <v>323</v>
      </c>
      <c r="D126" s="0" t="n">
        <v>-3.11856206874999</v>
      </c>
      <c r="E126" s="0" t="n">
        <v>0.180109948</v>
      </c>
      <c r="F126" s="0" t="n">
        <v>2.0833</v>
      </c>
      <c r="G126" s="0" t="n">
        <v>5.0000007</v>
      </c>
      <c r="H126" s="0" t="s">
        <v>111</v>
      </c>
      <c r="I126" s="2" t="b">
        <f aca="false">TRUE()</f>
        <v>1</v>
      </c>
      <c r="J126" s="0" t="str">
        <f aca="false">IF(AND(CODE(MID(B126,2,1))&gt;=97,CODE(MID(B126,2,1))&lt;=122),LEFT(B126,2),LEFT(B126,1))</f>
        <v>Ca</v>
      </c>
      <c r="K126" s="0" t="n">
        <f aca="false">IF(J126="","",_xlfn.XLOOKUP(TRIM(J126),Metallic_Radius_Table!A:A,Metallic_Radius_Table!B:B))</f>
        <v>1.97</v>
      </c>
      <c r="L126" s="0" t="str">
        <f aca="false">IF(ISNUMBER(SEARCH("La",B126)),"La",
 IF(ISNUMBER(SEARCH("Nd",B126)),"Nd",
 IF(ISNUMBER(SEARCH("Eu",B126)),"Eu",
 IF(ISNUMBER(SEARCH("Gd",B126)),"Gd",""))))</f>
        <v>Nd</v>
      </c>
      <c r="M126" s="0" t="n">
        <f aca="false">IF(L126="","",_xlfn.XLOOKUP(TRIM(L126),Metallic_Radius_Table!A:A,Metallic_Radius_Table!B:B))</f>
        <v>1.82</v>
      </c>
      <c r="N126" s="0" t="str">
        <f aca="false">TRIM(LEFT(C126,FIND(",",C126)-1))</f>
        <v>Fe</v>
      </c>
      <c r="O126" s="3" t="n">
        <f aca="false">IF(N126="","",_xlfn.XLOOKUP(TRIM(N126),Metallic_Radius_Table!A:A,Metallic_Radius_Table!B:B))</f>
        <v>1.26</v>
      </c>
      <c r="P126" s="0" t="str">
        <f aca="false">TRIM(MID(C126,FIND(",",C126)+1,5))</f>
        <v>Hf</v>
      </c>
      <c r="Q126" s="0" t="n">
        <f aca="false">IF(P126="","",_xlfn.XLOOKUP(TRIM(P126),Metallic_Radius_Table!A:A,Metallic_Radius_Table!B:B))</f>
        <v>1.59</v>
      </c>
      <c r="R126" s="0" t="str">
        <f aca="false">IF(G126&gt;=1,   "Ferromagnetic / Ferrimagnetic",   IF(G126&gt;=0.05,      "Paramagnetic / Weakly magnetic",      "Antiferromagnetic / Diamagnetic"))</f>
        <v>Ferromagnetic / Ferrimagnetic</v>
      </c>
      <c r="U126" s="0" t="str">
        <f aca="false">IF(G126&gt;=1,
   "FM → PM (Curie-type)",
   IF(G126&lt;0.05,
      "AFM → PM (Néel-type)",
      "No long-range magnetic transition"))</f>
        <v>FM → PM (Curie-type)</v>
      </c>
    </row>
    <row r="127" customFormat="false" ht="13.8" hidden="false" customHeight="false" outlineLevel="0" collapsed="false">
      <c r="A127" s="0" t="s">
        <v>324</v>
      </c>
      <c r="B127" s="0" t="s">
        <v>325</v>
      </c>
      <c r="C127" s="0" t="s">
        <v>148</v>
      </c>
      <c r="D127" s="0" t="n">
        <v>-3.52450232808333</v>
      </c>
      <c r="E127" s="0" t="n">
        <v>0.19043320675</v>
      </c>
      <c r="F127" s="0" t="n">
        <v>0</v>
      </c>
      <c r="G127" s="0" t="n">
        <v>0.003676</v>
      </c>
      <c r="H127" s="0" t="s">
        <v>111</v>
      </c>
      <c r="I127" s="2" t="b">
        <f aca="false">TRUE()</f>
        <v>1</v>
      </c>
      <c r="J127" s="0" t="str">
        <f aca="false">IF(AND(CODE(MID(B127,2,1))&gt;=97,CODE(MID(B127,2,1))&lt;=122),LEFT(B127,2),LEFT(B127,1))</f>
        <v>Ca</v>
      </c>
      <c r="K127" s="0" t="n">
        <f aca="false">IF(J127="","",_xlfn.XLOOKUP(TRIM(J127),Metallic_Radius_Table!A:A,Metallic_Radius_Table!B:B))</f>
        <v>1.97</v>
      </c>
      <c r="L127" s="0" t="str">
        <f aca="false">IF(ISNUMBER(SEARCH("La",B127)),"La",
 IF(ISNUMBER(SEARCH("Nd",B127)),"Nd",
 IF(ISNUMBER(SEARCH("Eu",B127)),"Eu",
 IF(ISNUMBER(SEARCH("Gd",B127)),"Gd",""))))</f>
        <v>Nd</v>
      </c>
      <c r="M127" s="0" t="n">
        <f aca="false">IF(L127="","",_xlfn.XLOOKUP(TRIM(L127),Metallic_Radius_Table!A:A,Metallic_Radius_Table!B:B))</f>
        <v>1.82</v>
      </c>
      <c r="N127" s="0" t="str">
        <f aca="false">TRIM(LEFT(C127,FIND(",",C127)-1))</f>
        <v>Hf</v>
      </c>
      <c r="O127" s="3" t="n">
        <f aca="false">IF(N127="","",_xlfn.XLOOKUP(TRIM(N127),Metallic_Radius_Table!A:A,Metallic_Radius_Table!B:B))</f>
        <v>1.59</v>
      </c>
      <c r="P127" s="0" t="str">
        <f aca="false">TRIM(MID(C127,FIND(",",C127)+1,5))</f>
        <v>Ti</v>
      </c>
      <c r="Q127" s="0" t="n">
        <f aca="false">IF(P127="","",_xlfn.XLOOKUP(TRIM(P127),Metallic_Radius_Table!A:A,Metallic_Radius_Table!B:B))</f>
        <v>1.47</v>
      </c>
      <c r="R127" s="0" t="str">
        <f aca="false">IF(G127&gt;=1,   "Ferromagnetic / Ferrimagnetic",   IF(G127&gt;=0.05,      "Paramagnetic / Weakly magnetic",      "Antiferromagnetic / Diamagnetic"))</f>
        <v>Antiferromagnetic / Diamagnetic</v>
      </c>
      <c r="U127" s="0" t="str">
        <f aca="false">IF(G127&gt;=1,
   "FM → PM (Curie-type)",
   IF(G127&lt;0.05,
      "AFM → PM (Néel-type)",
      "No long-range magnetic transition"))</f>
        <v>AFM → PM (Néel-type)</v>
      </c>
    </row>
    <row r="128" customFormat="false" ht="13.8" hidden="false" customHeight="false" outlineLevel="0" collapsed="false">
      <c r="A128" s="0" t="s">
        <v>326</v>
      </c>
      <c r="B128" s="0" t="s">
        <v>327</v>
      </c>
      <c r="C128" s="0" t="s">
        <v>202</v>
      </c>
      <c r="D128" s="0" t="n">
        <v>-3.08497643187643</v>
      </c>
      <c r="E128" s="0" t="n">
        <v>0.174806552749999</v>
      </c>
      <c r="F128" s="0" t="n">
        <v>0</v>
      </c>
      <c r="G128" s="4" t="n">
        <v>3.66E-005</v>
      </c>
      <c r="H128" s="0" t="s">
        <v>163</v>
      </c>
      <c r="I128" s="2" t="b">
        <f aca="false">TRUE()</f>
        <v>1</v>
      </c>
      <c r="J128" s="0" t="str">
        <f aca="false">IF(AND(CODE(MID(B128,2,1))&gt;=97,CODE(MID(B128,2,1))&lt;=122),LEFT(B128,2),LEFT(B128,1))</f>
        <v>Ca</v>
      </c>
      <c r="K128" s="0" t="n">
        <f aca="false">IF(J128="","",_xlfn.XLOOKUP(TRIM(J128),Metallic_Radius_Table!A:A,Metallic_Radius_Table!B:B))</f>
        <v>1.97</v>
      </c>
      <c r="L128" s="0" t="str">
        <f aca="false">IF(ISNUMBER(SEARCH("La",B128)),"La",
 IF(ISNUMBER(SEARCH("Nd",B128)),"Nd",
 IF(ISNUMBER(SEARCH("Eu",B128)),"Eu",
 IF(ISNUMBER(SEARCH("Gd",B128)),"Gd",""))))</f>
        <v>Nd</v>
      </c>
      <c r="M128" s="0" t="n">
        <f aca="false">IF(L128="","",_xlfn.XLOOKUP(TRIM(L128),Metallic_Radius_Table!A:A,Metallic_Radius_Table!B:B))</f>
        <v>1.82</v>
      </c>
      <c r="N128" s="0" t="str">
        <f aca="false">TRIM(LEFT(C128,FIND(",",C128)-1))</f>
        <v>Mn</v>
      </c>
      <c r="O128" s="3" t="n">
        <f aca="false">IF(N128="","",_xlfn.XLOOKUP(TRIM(N128),Metallic_Radius_Table!A:A,Metallic_Radius_Table!B:B))</f>
        <v>1.27</v>
      </c>
      <c r="P128" s="0" t="str">
        <f aca="false">TRIM(MID(C128,FIND(",",C128)+1,5))</f>
        <v>Ti</v>
      </c>
      <c r="Q128" s="0" t="n">
        <f aca="false">IF(P128="","",_xlfn.XLOOKUP(TRIM(P128),Metallic_Radius_Table!A:A,Metallic_Radius_Table!B:B))</f>
        <v>1.47</v>
      </c>
      <c r="R128" s="0" t="str">
        <f aca="false">IF(G128&gt;=1,   "Ferromagnetic / Ferrimagnetic",   IF(G128&gt;=0.05,      "Paramagnetic / Weakly magnetic",      "Antiferromagnetic / Diamagnetic"))</f>
        <v>Antiferromagnetic / Diamagnetic</v>
      </c>
      <c r="U128" s="0" t="str">
        <f aca="false">IF(G128&gt;=1,
   "FM → PM (Curie-type)",
   IF(G128&lt;0.05,
      "AFM → PM (Néel-type)",
      "No long-range magnetic transition"))</f>
        <v>AFM → PM (Néel-type)</v>
      </c>
    </row>
    <row r="129" customFormat="false" ht="13.8" hidden="false" customHeight="false" outlineLevel="0" collapsed="false">
      <c r="A129" s="0" t="s">
        <v>328</v>
      </c>
      <c r="B129" s="0" t="s">
        <v>329</v>
      </c>
      <c r="C129" s="0" t="s">
        <v>330</v>
      </c>
      <c r="D129" s="0" t="n">
        <v>-3.20695342975</v>
      </c>
      <c r="E129" s="0" t="n">
        <v>0.199055479000001</v>
      </c>
      <c r="F129" s="0" t="n">
        <v>2.4074</v>
      </c>
      <c r="G129" s="0" t="n">
        <v>3.0000005</v>
      </c>
      <c r="H129" s="0" t="s">
        <v>111</v>
      </c>
      <c r="I129" s="2" t="b">
        <f aca="false">TRUE()</f>
        <v>1</v>
      </c>
      <c r="J129" s="0" t="str">
        <f aca="false">IF(AND(CODE(MID(B129,2,1))&gt;=97,CODE(MID(B129,2,1))&lt;=122),LEFT(B129,2),LEFT(B129,1))</f>
        <v>Ca</v>
      </c>
      <c r="K129" s="0" t="n">
        <f aca="false">IF(J129="","",_xlfn.XLOOKUP(TRIM(J129),Metallic_Radius_Table!A:A,Metallic_Radius_Table!B:B))</f>
        <v>1.97</v>
      </c>
      <c r="L129" s="0" t="str">
        <f aca="false">IF(ISNUMBER(SEARCH("La",B129)),"La",
 IF(ISNUMBER(SEARCH("Nd",B129)),"Nd",
 IF(ISNUMBER(SEARCH("Eu",B129)),"Eu",
 IF(ISNUMBER(SEARCH("Gd",B129)),"Gd",""))))</f>
        <v>Nd</v>
      </c>
      <c r="M129" s="0" t="n">
        <f aca="false">IF(L129="","",_xlfn.XLOOKUP(TRIM(L129),Metallic_Radius_Table!A:A,Metallic_Radius_Table!B:B))</f>
        <v>1.82</v>
      </c>
      <c r="N129" s="0" t="str">
        <f aca="false">TRIM(LEFT(C129,FIND(",",C129)-1))</f>
        <v>Cr</v>
      </c>
      <c r="O129" s="3" t="n">
        <f aca="false">IF(N129="","",_xlfn.XLOOKUP(TRIM(N129),Metallic_Radius_Table!A:A,Metallic_Radius_Table!B:B))</f>
        <v>1.28</v>
      </c>
      <c r="P129" s="0" t="str">
        <f aca="false">TRIM(MID(C129,FIND(",",C129)+1,5))</f>
        <v>Zr</v>
      </c>
      <c r="Q129" s="0" t="n">
        <f aca="false">IF(P129="","",_xlfn.XLOOKUP(TRIM(P129),Metallic_Radius_Table!A:A,Metallic_Radius_Table!B:B))</f>
        <v>1.6</v>
      </c>
      <c r="R129" s="0" t="str">
        <f aca="false">IF(G129&gt;=1,   "Ferromagnetic / Ferrimagnetic",   IF(G129&gt;=0.05,      "Paramagnetic / Weakly magnetic",      "Antiferromagnetic / Diamagnetic"))</f>
        <v>Ferromagnetic / Ferrimagnetic</v>
      </c>
      <c r="U129" s="0" t="str">
        <f aca="false">IF(G129&gt;=1,
   "FM → PM (Curie-type)",
   IF(G129&lt;0.05,
      "AFM → PM (Néel-type)",
      "No long-range magnetic transition"))</f>
        <v>FM → PM (Curie-type)</v>
      </c>
    </row>
    <row r="130" customFormat="false" ht="13.8" hidden="false" customHeight="false" outlineLevel="0" collapsed="false">
      <c r="A130" s="0" t="s">
        <v>331</v>
      </c>
      <c r="B130" s="0" t="s">
        <v>332</v>
      </c>
      <c r="C130" s="0" t="s">
        <v>180</v>
      </c>
      <c r="D130" s="0" t="n">
        <v>-3.12357412141666</v>
      </c>
      <c r="E130" s="0" t="n">
        <v>0.019325853499998</v>
      </c>
      <c r="F130" s="0" t="n">
        <v>1.3812</v>
      </c>
      <c r="G130" s="0" t="n">
        <v>15.9990178</v>
      </c>
      <c r="H130" s="0" t="s">
        <v>333</v>
      </c>
      <c r="I130" s="2" t="b">
        <f aca="false">TRUE()</f>
        <v>1</v>
      </c>
      <c r="J130" s="0" t="str">
        <f aca="false">IF(AND(CODE(MID(B130,2,1))&gt;=97,CODE(MID(B130,2,1))&lt;=122),LEFT(B130,2),LEFT(B130,1))</f>
        <v>Ca</v>
      </c>
      <c r="K130" s="0" t="n">
        <f aca="false">IF(J130="","",_xlfn.XLOOKUP(TRIM(J130),Metallic_Radius_Table!A:A,Metallic_Radius_Table!B:B))</f>
        <v>1.97</v>
      </c>
      <c r="L130" s="0" t="str">
        <f aca="false">IF(ISNUMBER(SEARCH("La",B130)),"La",
 IF(ISNUMBER(SEARCH("Nd",B130)),"Nd",
 IF(ISNUMBER(SEARCH("Eu",B130)),"Eu",
 IF(ISNUMBER(SEARCH("Gd",B130)),"Gd",""))))</f>
        <v/>
      </c>
      <c r="M130" s="0" t="str">
        <f aca="false">IF(L130="","",_xlfn.XLOOKUP(TRIM(L130),Metallic_Radius_Table!A:A,Metallic_Radius_Table!B:B))</f>
        <v/>
      </c>
      <c r="N130" s="0" t="str">
        <f aca="false">TRIM(LEFT(C130,FIND(",",C130)-1))</f>
        <v>Fe</v>
      </c>
      <c r="O130" s="3" t="n">
        <f aca="false">IF(N130="","",_xlfn.XLOOKUP(TRIM(N130),Metallic_Radius_Table!A:A,Metallic_Radius_Table!B:B))</f>
        <v>1.26</v>
      </c>
      <c r="P130" s="0" t="str">
        <f aca="false">TRIM(MID(C130,FIND(",",C130)+1,5))</f>
        <v>Ti</v>
      </c>
      <c r="Q130" s="0" t="n">
        <f aca="false">IF(P130="","",_xlfn.XLOOKUP(TRIM(P130),Metallic_Radius_Table!A:A,Metallic_Radius_Table!B:B))</f>
        <v>1.47</v>
      </c>
      <c r="R130" s="0" t="str">
        <f aca="false">IF(G130&gt;=1,   "Ferromagnetic / Ferrimagnetic",   IF(G130&gt;=0.05,      "Paramagnetic / Weakly magnetic",      "Antiferromagnetic / Diamagnetic"))</f>
        <v>Ferromagnetic / Ferrimagnetic</v>
      </c>
      <c r="U130" s="0" t="str">
        <f aca="false">IF(G130&gt;=1,
   "FM → PM (Curie-type)",
   IF(G130&lt;0.05,
      "AFM → PM (Néel-type)",
      "No long-range magnetic transition"))</f>
        <v>FM → PM (Curie-type)</v>
      </c>
    </row>
    <row r="131" customFormat="false" ht="13.8" hidden="false" customHeight="false" outlineLevel="0" collapsed="false">
      <c r="A131" s="0" t="s">
        <v>334</v>
      </c>
      <c r="B131" s="0" t="s">
        <v>335</v>
      </c>
      <c r="C131" s="0" t="s">
        <v>202</v>
      </c>
      <c r="D131" s="0" t="n">
        <v>-3.23747311970977</v>
      </c>
      <c r="E131" s="0" t="n">
        <v>0.017872486999987</v>
      </c>
      <c r="F131" s="0" t="n">
        <v>1.57999999999999</v>
      </c>
      <c r="G131" s="0" t="n">
        <v>19.9994819</v>
      </c>
      <c r="H131" s="0" t="s">
        <v>336</v>
      </c>
      <c r="I131" s="2" t="b">
        <f aca="false">TRUE()</f>
        <v>1</v>
      </c>
      <c r="J131" s="0" t="str">
        <f aca="false">IF(AND(CODE(MID(B131,2,1))&gt;=97,CODE(MID(B131,2,1))&lt;=122),LEFT(B131,2),LEFT(B131,1))</f>
        <v>Ca</v>
      </c>
      <c r="K131" s="0" t="n">
        <f aca="false">IF(J131="","",_xlfn.XLOOKUP(TRIM(J131),Metallic_Radius_Table!A:A,Metallic_Radius_Table!B:B))</f>
        <v>1.97</v>
      </c>
      <c r="L131" s="0" t="str">
        <f aca="false">IF(ISNUMBER(SEARCH("La",B131)),"La",
 IF(ISNUMBER(SEARCH("Nd",B131)),"Nd",
 IF(ISNUMBER(SEARCH("Eu",B131)),"Eu",
 IF(ISNUMBER(SEARCH("Gd",B131)),"Gd",""))))</f>
        <v/>
      </c>
      <c r="M131" s="0" t="str">
        <f aca="false">IF(L131="","",_xlfn.XLOOKUP(TRIM(L131),Metallic_Radius_Table!A:A,Metallic_Radius_Table!B:B))</f>
        <v/>
      </c>
      <c r="N131" s="0" t="str">
        <f aca="false">TRIM(LEFT(C131,FIND(",",C131)-1))</f>
        <v>Mn</v>
      </c>
      <c r="O131" s="3" t="n">
        <f aca="false">IF(N131="","",_xlfn.XLOOKUP(TRIM(N131),Metallic_Radius_Table!A:A,Metallic_Radius_Table!B:B))</f>
        <v>1.27</v>
      </c>
      <c r="P131" s="0" t="str">
        <f aca="false">TRIM(MID(C131,FIND(",",C131)+1,5))</f>
        <v>Ti</v>
      </c>
      <c r="Q131" s="0" t="n">
        <f aca="false">IF(P131="","",_xlfn.XLOOKUP(TRIM(P131),Metallic_Radius_Table!A:A,Metallic_Radius_Table!B:B))</f>
        <v>1.47</v>
      </c>
      <c r="R131" s="0" t="str">
        <f aca="false">IF(G131&gt;=1,   "Ferromagnetic / Ferrimagnetic",   IF(G131&gt;=0.05,      "Paramagnetic / Weakly magnetic",      "Antiferromagnetic / Diamagnetic"))</f>
        <v>Ferromagnetic / Ferrimagnetic</v>
      </c>
      <c r="U131" s="0" t="str">
        <f aca="false">IF(G131&gt;=1,
   "FM → PM (Curie-type)",
   IF(G131&lt;0.05,
      "AFM → PM (Néel-type)",
      "No long-range magnetic transition"))</f>
        <v>FM → PM (Curie-type)</v>
      </c>
    </row>
    <row r="132" customFormat="false" ht="13.8" hidden="false" customHeight="false" outlineLevel="0" collapsed="false">
      <c r="A132" s="0" t="s">
        <v>337</v>
      </c>
      <c r="B132" s="0" t="s">
        <v>338</v>
      </c>
      <c r="C132" s="0" t="s">
        <v>185</v>
      </c>
      <c r="D132" s="0" t="n">
        <v>-2.86222059899999</v>
      </c>
      <c r="E132" s="0" t="n">
        <v>0.179617786326392</v>
      </c>
      <c r="F132" s="0" t="n">
        <v>0</v>
      </c>
      <c r="G132" s="4" t="n">
        <v>4.7E-006</v>
      </c>
      <c r="H132" s="0" t="s">
        <v>111</v>
      </c>
      <c r="I132" s="2" t="b">
        <f aca="false">TRUE()</f>
        <v>1</v>
      </c>
      <c r="J132" s="0" t="str">
        <f aca="false">IF(AND(CODE(MID(B132,2,1))&gt;=97,CODE(MID(B132,2,1))&lt;=122),LEFT(B132,2),LEFT(B132,1))</f>
        <v>Ca</v>
      </c>
      <c r="K132" s="0" t="n">
        <f aca="false">IF(J132="","",_xlfn.XLOOKUP(TRIM(J132),Metallic_Radius_Table!A:A,Metallic_Radius_Table!B:B))</f>
        <v>1.97</v>
      </c>
      <c r="L132" s="0" t="str">
        <f aca="false">IF(ISNUMBER(SEARCH("La",B132)),"La",
 IF(ISNUMBER(SEARCH("Nd",B132)),"Nd",
 IF(ISNUMBER(SEARCH("Eu",B132)),"Eu",
 IF(ISNUMBER(SEARCH("Gd",B132)),"Gd",""))))</f>
        <v/>
      </c>
      <c r="M132" s="0" t="str">
        <f aca="false">IF(L132="","",_xlfn.XLOOKUP(TRIM(L132),Metallic_Radius_Table!A:A,Metallic_Radius_Table!B:B))</f>
        <v/>
      </c>
      <c r="N132" s="0" t="str">
        <f aca="false">TRIM(LEFT(C132,FIND(",",C132)-1))</f>
        <v>Nb</v>
      </c>
      <c r="O132" s="3" t="n">
        <f aca="false">IF(N132="","",_xlfn.XLOOKUP(TRIM(N132),Metallic_Radius_Table!A:A,Metallic_Radius_Table!B:B))</f>
        <v>1.46</v>
      </c>
      <c r="P132" s="0" t="str">
        <f aca="false">TRIM(MID(C132,FIND(",",C132)+1,5))</f>
        <v>Ti</v>
      </c>
      <c r="Q132" s="0" t="n">
        <f aca="false">IF(P132="","",_xlfn.XLOOKUP(TRIM(P132),Metallic_Radius_Table!A:A,Metallic_Radius_Table!B:B))</f>
        <v>1.47</v>
      </c>
      <c r="R132" s="0" t="str">
        <f aca="false">IF(G132&gt;=1,   "Ferromagnetic / Ferrimagnetic",   IF(G132&gt;=0.05,      "Paramagnetic / Weakly magnetic",      "Antiferromagnetic / Diamagnetic"))</f>
        <v>Antiferromagnetic / Diamagnetic</v>
      </c>
      <c r="U132" s="0" t="str">
        <f aca="false">IF(G132&gt;=1,
   "FM → PM (Curie-type)",
   IF(G132&lt;0.05,
      "AFM → PM (Néel-type)",
      "No long-range magnetic transition"))</f>
        <v>AFM → PM (Néel-type)</v>
      </c>
    </row>
    <row r="133" customFormat="false" ht="13.8" hidden="false" customHeight="false" outlineLevel="0" collapsed="false">
      <c r="A133" s="0" t="s">
        <v>339</v>
      </c>
      <c r="B133" s="0" t="s">
        <v>340</v>
      </c>
      <c r="C133" s="0" t="s">
        <v>128</v>
      </c>
      <c r="D133" s="0" t="n">
        <v>-2.92802271066666</v>
      </c>
      <c r="E133" s="0" t="n">
        <v>0.195873470513893</v>
      </c>
      <c r="F133" s="0" t="n">
        <v>0.5202</v>
      </c>
      <c r="G133" s="0" t="n">
        <v>0</v>
      </c>
      <c r="H133" s="0" t="s">
        <v>111</v>
      </c>
      <c r="I133" s="2" t="b">
        <f aca="false">TRUE()</f>
        <v>1</v>
      </c>
      <c r="J133" s="0" t="str">
        <f aca="false">IF(AND(CODE(MID(B133,2,1))&gt;=97,CODE(MID(B133,2,1))&lt;=122),LEFT(B133,2),LEFT(B133,1))</f>
        <v>Ca</v>
      </c>
      <c r="K133" s="0" t="n">
        <f aca="false">IF(J133="","",_xlfn.XLOOKUP(TRIM(J133),Metallic_Radius_Table!A:A,Metallic_Radius_Table!B:B))</f>
        <v>1.97</v>
      </c>
      <c r="L133" s="0" t="str">
        <f aca="false">IF(ISNUMBER(SEARCH("La",B133)),"La",
 IF(ISNUMBER(SEARCH("Nd",B133)),"Nd",
 IF(ISNUMBER(SEARCH("Eu",B133)),"Eu",
 IF(ISNUMBER(SEARCH("Gd",B133)),"Gd",""))))</f>
        <v/>
      </c>
      <c r="M133" s="0" t="str">
        <f aca="false">IF(L133="","",_xlfn.XLOOKUP(TRIM(L133),Metallic_Radius_Table!A:A,Metallic_Radius_Table!B:B))</f>
        <v/>
      </c>
      <c r="N133" s="0" t="str">
        <f aca="false">TRIM(LEFT(C133,FIND(",",C133)-1))</f>
        <v>Zr</v>
      </c>
      <c r="O133" s="3" t="n">
        <f aca="false">IF(N133="","",_xlfn.XLOOKUP(TRIM(N133),Metallic_Radius_Table!A:A,Metallic_Radius_Table!B:B))</f>
        <v>1.6</v>
      </c>
      <c r="P133" s="0" t="str">
        <f aca="false">TRIM(MID(C133,FIND(",",C133)+1,5))</f>
        <v>Nb</v>
      </c>
      <c r="Q133" s="0" t="n">
        <f aca="false">IF(P133="","",_xlfn.XLOOKUP(TRIM(P133),Metallic_Radius_Table!A:A,Metallic_Radius_Table!B:B))</f>
        <v>1.46</v>
      </c>
      <c r="R133" s="0" t="str">
        <f aca="false">IF(G133&gt;=1,   "Ferromagnetic / Ferrimagnetic",   IF(G133&gt;=0.05,      "Paramagnetic / Weakly magnetic",      "Antiferromagnetic / Diamagnetic"))</f>
        <v>Antiferromagnetic / Diamagnetic</v>
      </c>
      <c r="U133" s="0" t="str">
        <f aca="false">IF(G133&gt;=1,
   "FM → PM (Curie-type)",
   IF(G133&lt;0.05,
      "AFM → PM (Néel-type)",
      "No long-range magnetic transition"))</f>
        <v>AFM → PM (Néel-type)</v>
      </c>
    </row>
    <row r="134" customFormat="false" ht="13.8" hidden="false" customHeight="false" outlineLevel="0" collapsed="false">
      <c r="A134" s="0" t="s">
        <v>341</v>
      </c>
      <c r="B134" s="0" t="s">
        <v>342</v>
      </c>
      <c r="C134" s="0" t="s">
        <v>343</v>
      </c>
      <c r="D134" s="0" t="n">
        <v>-2.12642163525</v>
      </c>
      <c r="E134" s="0" t="n">
        <v>0</v>
      </c>
      <c r="F134" s="0" t="n">
        <v>0</v>
      </c>
      <c r="G134" s="0" t="n">
        <v>5.0487675</v>
      </c>
      <c r="H134" s="0" t="s">
        <v>58</v>
      </c>
      <c r="I134" s="2" t="b">
        <f aca="false">TRUE()</f>
        <v>1</v>
      </c>
      <c r="J134" s="0" t="str">
        <f aca="false">IF(AND(CODE(MID(B134,2,1))&gt;=97,CODE(MID(B134,2,1))&lt;=122),LEFT(B134,2),LEFT(B134,1))</f>
        <v>Ca</v>
      </c>
      <c r="K134" s="0" t="n">
        <f aca="false">IF(J134="","",_xlfn.XLOOKUP(TRIM(J134),Metallic_Radius_Table!A:A,Metallic_Radius_Table!B:B))</f>
        <v>1.97</v>
      </c>
      <c r="L134" s="0" t="str">
        <f aca="false">IF(ISNUMBER(SEARCH("La",B134)),"La",
 IF(ISNUMBER(SEARCH("Nd",B134)),"Nd",
 IF(ISNUMBER(SEARCH("Eu",B134)),"Eu",
 IF(ISNUMBER(SEARCH("Gd",B134)),"Gd",""))))</f>
        <v/>
      </c>
      <c r="M134" s="0" t="str">
        <f aca="false">IF(L134="","",_xlfn.XLOOKUP(TRIM(L134),Metallic_Radius_Table!A:A,Metallic_Radius_Table!B:B))</f>
        <v/>
      </c>
      <c r="N134" s="0" t="str">
        <f aca="false">TRIM(LEFT(C134,FIND(",",C134)-1))</f>
        <v>Co</v>
      </c>
      <c r="O134" s="3" t="n">
        <f aca="false">IF(N134="","",_xlfn.XLOOKUP(TRIM(N134),Metallic_Radius_Table!A:A,Metallic_Radius_Table!B:B))</f>
        <v>1.25</v>
      </c>
      <c r="P134" s="0" t="str">
        <f aca="false">TRIM(MID(C134,FIND(",",C134)+1,5))</f>
        <v>Ir</v>
      </c>
      <c r="Q134" s="0" t="n">
        <f aca="false">IF(P134="","",_xlfn.XLOOKUP(TRIM(P134),Metallic_Radius_Table!A:A,Metallic_Radius_Table!B:B))</f>
        <v>1.36</v>
      </c>
      <c r="R134" s="0" t="str">
        <f aca="false">IF(G134&gt;=1,   "Ferromagnetic / Ferrimagnetic",   IF(G134&gt;=0.05,      "Paramagnetic / Weakly magnetic",      "Antiferromagnetic / Diamagnetic"))</f>
        <v>Ferromagnetic / Ferrimagnetic</v>
      </c>
      <c r="U134" s="0" t="str">
        <f aca="false">IF(G134&gt;=1,
   "FM → PM (Curie-type)",
   IF(G134&lt;0.05,
      "AFM → PM (Néel-type)",
      "No long-range magnetic transition"))</f>
        <v>FM → PM (Curie-type)</v>
      </c>
    </row>
    <row r="135" customFormat="false" ht="13.8" hidden="false" customHeight="false" outlineLevel="0" collapsed="false">
      <c r="A135" s="0" t="s">
        <v>344</v>
      </c>
      <c r="B135" s="0" t="s">
        <v>342</v>
      </c>
      <c r="C135" s="0" t="s">
        <v>343</v>
      </c>
      <c r="D135" s="0" t="n">
        <v>-2.09678702925</v>
      </c>
      <c r="E135" s="0" t="n">
        <v>0.029634606000013</v>
      </c>
      <c r="F135" s="0" t="n">
        <v>0</v>
      </c>
      <c r="G135" s="0" t="n">
        <v>2.22924</v>
      </c>
      <c r="H135" s="0" t="s">
        <v>58</v>
      </c>
      <c r="I135" s="2" t="b">
        <f aca="false">TRUE()</f>
        <v>1</v>
      </c>
      <c r="J135" s="0" t="str">
        <f aca="false">IF(AND(CODE(MID(B135,2,1))&gt;=97,CODE(MID(B135,2,1))&lt;=122),LEFT(B135,2),LEFT(B135,1))</f>
        <v>Ca</v>
      </c>
      <c r="K135" s="0" t="n">
        <f aca="false">IF(J135="","",_xlfn.XLOOKUP(TRIM(J135),Metallic_Radius_Table!A:A,Metallic_Radius_Table!B:B))</f>
        <v>1.97</v>
      </c>
      <c r="L135" s="0" t="str">
        <f aca="false">IF(ISNUMBER(SEARCH("La",B135)),"La",
 IF(ISNUMBER(SEARCH("Nd",B135)),"Nd",
 IF(ISNUMBER(SEARCH("Eu",B135)),"Eu",
 IF(ISNUMBER(SEARCH("Gd",B135)),"Gd",""))))</f>
        <v/>
      </c>
      <c r="M135" s="0" t="str">
        <f aca="false">IF(L135="","",_xlfn.XLOOKUP(TRIM(L135),Metallic_Radius_Table!A:A,Metallic_Radius_Table!B:B))</f>
        <v/>
      </c>
      <c r="N135" s="0" t="str">
        <f aca="false">TRIM(LEFT(C135,FIND(",",C135)-1))</f>
        <v>Co</v>
      </c>
      <c r="O135" s="3" t="n">
        <f aca="false">IF(N135="","",_xlfn.XLOOKUP(TRIM(N135),Metallic_Radius_Table!A:A,Metallic_Radius_Table!B:B))</f>
        <v>1.25</v>
      </c>
      <c r="P135" s="0" t="str">
        <f aca="false">TRIM(MID(C135,FIND(",",C135)+1,5))</f>
        <v>Ir</v>
      </c>
      <c r="Q135" s="0" t="n">
        <f aca="false">IF(P135="","",_xlfn.XLOOKUP(TRIM(P135),Metallic_Radius_Table!A:A,Metallic_Radius_Table!B:B))</f>
        <v>1.36</v>
      </c>
      <c r="R135" s="0" t="str">
        <f aca="false">IF(G135&gt;=1,   "Ferromagnetic / Ferrimagnetic",   IF(G135&gt;=0.05,      "Paramagnetic / Weakly magnetic",      "Antiferromagnetic / Diamagnetic"))</f>
        <v>Ferromagnetic / Ferrimagnetic</v>
      </c>
      <c r="U135" s="0" t="str">
        <f aca="false">IF(G135&gt;=1,
   "FM → PM (Curie-type)",
   IF(G135&lt;0.05,
      "AFM → PM (Néel-type)",
      "No long-range magnetic transition"))</f>
        <v>FM → PM (Curie-type)</v>
      </c>
    </row>
    <row r="136" customFormat="false" ht="13.8" hidden="false" customHeight="false" outlineLevel="0" collapsed="false">
      <c r="A136" s="0" t="s">
        <v>345</v>
      </c>
      <c r="B136" s="0" t="s">
        <v>346</v>
      </c>
      <c r="C136" s="0" t="s">
        <v>347</v>
      </c>
      <c r="D136" s="0" t="n">
        <v>-1.9179904905</v>
      </c>
      <c r="E136" s="0" t="n">
        <v>0.149276850833322</v>
      </c>
      <c r="F136" s="0" t="n">
        <v>0.074599999999999</v>
      </c>
      <c r="G136" s="0" t="n">
        <v>3.9994028</v>
      </c>
      <c r="H136" s="0" t="s">
        <v>45</v>
      </c>
      <c r="I136" s="2" t="b">
        <f aca="false">TRUE()</f>
        <v>1</v>
      </c>
      <c r="J136" s="0" t="str">
        <f aca="false">IF(AND(CODE(MID(B136,2,1))&gt;=97,CODE(MID(B136,2,1))&lt;=122),LEFT(B136,2),LEFT(B136,1))</f>
        <v>Ca</v>
      </c>
      <c r="K136" s="0" t="n">
        <f aca="false">IF(J136="","",_xlfn.XLOOKUP(TRIM(J136),Metallic_Radius_Table!A:A,Metallic_Radius_Table!B:B))</f>
        <v>1.97</v>
      </c>
      <c r="L136" s="0" t="str">
        <f aca="false">IF(ISNUMBER(SEARCH("La",B136)),"La",
 IF(ISNUMBER(SEARCH("Nd",B136)),"Nd",
 IF(ISNUMBER(SEARCH("Eu",B136)),"Eu",
 IF(ISNUMBER(SEARCH("Gd",B136)),"Gd",""))))</f>
        <v/>
      </c>
      <c r="M136" s="0" t="str">
        <f aca="false">IF(L136="","",_xlfn.XLOOKUP(TRIM(L136),Metallic_Radius_Table!A:A,Metallic_Radius_Table!B:B))</f>
        <v/>
      </c>
      <c r="N136" s="0" t="str">
        <f aca="false">TRIM(LEFT(C136,FIND(",",C136)-1))</f>
        <v>Co</v>
      </c>
      <c r="O136" s="3" t="n">
        <f aca="false">IF(N136="","",_xlfn.XLOOKUP(TRIM(N136),Metallic_Radius_Table!A:A,Metallic_Radius_Table!B:B))</f>
        <v>1.25</v>
      </c>
      <c r="P136" s="0" t="str">
        <f aca="false">TRIM(MID(C136,FIND(",",C136)+1,5))</f>
        <v>Rh</v>
      </c>
      <c r="Q136" s="0" t="n">
        <f aca="false">IF(P136="","",_xlfn.XLOOKUP(TRIM(P136),Metallic_Radius_Table!A:A,Metallic_Radius_Table!B:B))</f>
        <v>1.34</v>
      </c>
      <c r="R136" s="0" t="str">
        <f aca="false">IF(G136&gt;=1,   "Ferromagnetic / Ferrimagnetic",   IF(G136&gt;=0.05,      "Paramagnetic / Weakly magnetic",      "Antiferromagnetic / Diamagnetic"))</f>
        <v>Ferromagnetic / Ferrimagnetic</v>
      </c>
      <c r="U136" s="0" t="str">
        <f aca="false">IF(G136&gt;=1,
   "FM → PM (Curie-type)",
   IF(G136&lt;0.05,
      "AFM → PM (Néel-type)",
      "No long-range magnetic transition"))</f>
        <v>FM → PM (Curie-type)</v>
      </c>
    </row>
    <row r="137" customFormat="false" ht="13.8" hidden="false" customHeight="false" outlineLevel="0" collapsed="false">
      <c r="A137" s="0" t="s">
        <v>348</v>
      </c>
      <c r="B137" s="0" t="s">
        <v>349</v>
      </c>
      <c r="C137" s="0" t="s">
        <v>35</v>
      </c>
      <c r="D137" s="0" t="n">
        <v>-2.5920701</v>
      </c>
      <c r="E137" s="0" t="n">
        <v>0.024863830999991</v>
      </c>
      <c r="F137" s="0" t="n">
        <v>0</v>
      </c>
      <c r="G137" s="0" t="n">
        <v>0.0022291</v>
      </c>
      <c r="H137" s="0" t="s">
        <v>58</v>
      </c>
      <c r="I137" s="2" t="b">
        <f aca="false">TRUE()</f>
        <v>1</v>
      </c>
      <c r="J137" s="0" t="str">
        <f aca="false">IF(AND(CODE(MID(B137,2,1))&gt;=97,CODE(MID(B137,2,1))&lt;=122),LEFT(B137,2),LEFT(B137,1))</f>
        <v>Ca</v>
      </c>
      <c r="K137" s="0" t="n">
        <f aca="false">IF(J137="","",_xlfn.XLOOKUP(TRIM(J137),Metallic_Radius_Table!A:A,Metallic_Radius_Table!B:B))</f>
        <v>1.97</v>
      </c>
      <c r="L137" s="0" t="str">
        <f aca="false">IF(ISNUMBER(SEARCH("La",B137)),"La",
 IF(ISNUMBER(SEARCH("Nd",B137)),"Nd",
 IF(ISNUMBER(SEARCH("Eu",B137)),"Eu",
 IF(ISNUMBER(SEARCH("Gd",B137)),"Gd",""))))</f>
        <v/>
      </c>
      <c r="M137" s="0" t="str">
        <f aca="false">IF(L137="","",_xlfn.XLOOKUP(TRIM(L137),Metallic_Radius_Table!A:A,Metallic_Radius_Table!B:B))</f>
        <v/>
      </c>
      <c r="N137" s="0" t="str">
        <f aca="false">TRIM(LEFT(C137,FIND(",",C137)-1))</f>
        <v>Co</v>
      </c>
      <c r="O137" s="3" t="n">
        <f aca="false">IF(N137="","",_xlfn.XLOOKUP(TRIM(N137),Metallic_Radius_Table!A:A,Metallic_Radius_Table!B:B))</f>
        <v>1.25</v>
      </c>
      <c r="P137" s="0" t="str">
        <f aca="false">TRIM(MID(C137,FIND(",",C137)+1,5))</f>
        <v>W</v>
      </c>
      <c r="Q137" s="0" t="n">
        <f aca="false">IF(P137="","",_xlfn.XLOOKUP(TRIM(P137),Metallic_Radius_Table!A:A,Metallic_Radius_Table!B:B))</f>
        <v>1.41</v>
      </c>
      <c r="R137" s="0" t="str">
        <f aca="false">IF(G137&gt;=1,   "Ferromagnetic / Ferrimagnetic",   IF(G137&gt;=0.05,      "Paramagnetic / Weakly magnetic",      "Antiferromagnetic / Diamagnetic"))</f>
        <v>Antiferromagnetic / Diamagnetic</v>
      </c>
      <c r="U137" s="0" t="str">
        <f aca="false">IF(G137&gt;=1,
   "FM → PM (Curie-type)",
   IF(G137&lt;0.05,
      "AFM → PM (Néel-type)",
      "No long-range magnetic transition"))</f>
        <v>AFM → PM (Néel-type)</v>
      </c>
    </row>
    <row r="138" customFormat="false" ht="13.8" hidden="false" customHeight="false" outlineLevel="0" collapsed="false">
      <c r="A138" s="0" t="s">
        <v>350</v>
      </c>
      <c r="B138" s="0" t="s">
        <v>349</v>
      </c>
      <c r="C138" s="0" t="s">
        <v>35</v>
      </c>
      <c r="D138" s="0" t="n">
        <v>-2.49281580799999</v>
      </c>
      <c r="E138" s="0" t="n">
        <v>0.124118122999992</v>
      </c>
      <c r="F138" s="0" t="n">
        <v>1.49299999999999</v>
      </c>
      <c r="G138" s="0" t="n">
        <v>3.0007263</v>
      </c>
      <c r="H138" s="0" t="s">
        <v>161</v>
      </c>
      <c r="I138" s="2" t="b">
        <f aca="false">TRUE()</f>
        <v>1</v>
      </c>
      <c r="J138" s="0" t="str">
        <f aca="false">IF(AND(CODE(MID(B138,2,1))&gt;=97,CODE(MID(B138,2,1))&lt;=122),LEFT(B138,2),LEFT(B138,1))</f>
        <v>Ca</v>
      </c>
      <c r="K138" s="0" t="n">
        <f aca="false">IF(J138="","",_xlfn.XLOOKUP(TRIM(J138),Metallic_Radius_Table!A:A,Metallic_Radius_Table!B:B))</f>
        <v>1.97</v>
      </c>
      <c r="L138" s="0" t="str">
        <f aca="false">IF(ISNUMBER(SEARCH("La",B138)),"La",
 IF(ISNUMBER(SEARCH("Nd",B138)),"Nd",
 IF(ISNUMBER(SEARCH("Eu",B138)),"Eu",
 IF(ISNUMBER(SEARCH("Gd",B138)),"Gd",""))))</f>
        <v/>
      </c>
      <c r="M138" s="0" t="str">
        <f aca="false">IF(L138="","",_xlfn.XLOOKUP(TRIM(L138),Metallic_Radius_Table!A:A,Metallic_Radius_Table!B:B))</f>
        <v/>
      </c>
      <c r="N138" s="0" t="str">
        <f aca="false">TRIM(LEFT(C138,FIND(",",C138)-1))</f>
        <v>Co</v>
      </c>
      <c r="O138" s="3" t="n">
        <f aca="false">IF(N138="","",_xlfn.XLOOKUP(TRIM(N138),Metallic_Radius_Table!A:A,Metallic_Radius_Table!B:B))</f>
        <v>1.25</v>
      </c>
      <c r="P138" s="0" t="str">
        <f aca="false">TRIM(MID(C138,FIND(",",C138)+1,5))</f>
        <v>W</v>
      </c>
      <c r="Q138" s="0" t="n">
        <f aca="false">IF(P138="","",_xlfn.XLOOKUP(TRIM(P138),Metallic_Radius_Table!A:A,Metallic_Radius_Table!B:B))</f>
        <v>1.41</v>
      </c>
      <c r="R138" s="0" t="str">
        <f aca="false">IF(G138&gt;=1,   "Ferromagnetic / Ferrimagnetic",   IF(G138&gt;=0.05,      "Paramagnetic / Weakly magnetic",      "Antiferromagnetic / Diamagnetic"))</f>
        <v>Ferromagnetic / Ferrimagnetic</v>
      </c>
      <c r="U138" s="0" t="str">
        <f aca="false">IF(G138&gt;=1,
   "FM → PM (Curie-type)",
   IF(G138&lt;0.05,
      "AFM → PM (Néel-type)",
      "No long-range magnetic transition"))</f>
        <v>FM → PM (Curie-type)</v>
      </c>
    </row>
    <row r="139" customFormat="false" ht="13.8" hidden="false" customHeight="false" outlineLevel="0" collapsed="false">
      <c r="A139" s="0" t="s">
        <v>351</v>
      </c>
      <c r="B139" s="0" t="s">
        <v>349</v>
      </c>
      <c r="C139" s="0" t="s">
        <v>35</v>
      </c>
      <c r="D139" s="0" t="n">
        <v>-2.61693393099999</v>
      </c>
      <c r="E139" s="0" t="n">
        <v>0</v>
      </c>
      <c r="F139" s="0" t="n">
        <v>1.2029</v>
      </c>
      <c r="G139" s="0" t="n">
        <v>6.0001157</v>
      </c>
      <c r="H139" s="0" t="s">
        <v>352</v>
      </c>
      <c r="I139" s="2" t="b">
        <f aca="false">TRUE()</f>
        <v>1</v>
      </c>
      <c r="J139" s="0" t="str">
        <f aca="false">IF(AND(CODE(MID(B139,2,1))&gt;=97,CODE(MID(B139,2,1))&lt;=122),LEFT(B139,2),LEFT(B139,1))</f>
        <v>Ca</v>
      </c>
      <c r="K139" s="0" t="n">
        <f aca="false">IF(J139="","",_xlfn.XLOOKUP(TRIM(J139),Metallic_Radius_Table!A:A,Metallic_Radius_Table!B:B))</f>
        <v>1.97</v>
      </c>
      <c r="L139" s="0" t="str">
        <f aca="false">IF(ISNUMBER(SEARCH("La",B139)),"La",
 IF(ISNUMBER(SEARCH("Nd",B139)),"Nd",
 IF(ISNUMBER(SEARCH("Eu",B139)),"Eu",
 IF(ISNUMBER(SEARCH("Gd",B139)),"Gd",""))))</f>
        <v/>
      </c>
      <c r="M139" s="0" t="str">
        <f aca="false">IF(L139="","",_xlfn.XLOOKUP(TRIM(L139),Metallic_Radius_Table!A:A,Metallic_Radius_Table!B:B))</f>
        <v/>
      </c>
      <c r="N139" s="0" t="str">
        <f aca="false">TRIM(LEFT(C139,FIND(",",C139)-1))</f>
        <v>Co</v>
      </c>
      <c r="O139" s="3" t="n">
        <f aca="false">IF(N139="","",_xlfn.XLOOKUP(TRIM(N139),Metallic_Radius_Table!A:A,Metallic_Radius_Table!B:B))</f>
        <v>1.25</v>
      </c>
      <c r="P139" s="0" t="str">
        <f aca="false">TRIM(MID(C139,FIND(",",C139)+1,5))</f>
        <v>W</v>
      </c>
      <c r="Q139" s="0" t="n">
        <f aca="false">IF(P139="","",_xlfn.XLOOKUP(TRIM(P139),Metallic_Radius_Table!A:A,Metallic_Radius_Table!B:B))</f>
        <v>1.41</v>
      </c>
      <c r="R139" s="0" t="str">
        <f aca="false">IF(G139&gt;=1,   "Ferromagnetic / Ferrimagnetic",   IF(G139&gt;=0.05,      "Paramagnetic / Weakly magnetic",      "Antiferromagnetic / Diamagnetic"))</f>
        <v>Ferromagnetic / Ferrimagnetic</v>
      </c>
      <c r="U139" s="0" t="str">
        <f aca="false">IF(G139&gt;=1,
   "FM → PM (Curie-type)",
   IF(G139&lt;0.05,
      "AFM → PM (Néel-type)",
      "No long-range magnetic transition"))</f>
        <v>FM → PM (Curie-type)</v>
      </c>
    </row>
    <row r="140" customFormat="false" ht="13.8" hidden="false" customHeight="false" outlineLevel="0" collapsed="false">
      <c r="A140" s="0" t="s">
        <v>353</v>
      </c>
      <c r="B140" s="0" t="s">
        <v>354</v>
      </c>
      <c r="C140" s="0" t="s">
        <v>355</v>
      </c>
      <c r="D140" s="0" t="n">
        <v>-2.40174064049999</v>
      </c>
      <c r="E140" s="0" t="n">
        <v>0</v>
      </c>
      <c r="F140" s="0" t="n">
        <v>0</v>
      </c>
      <c r="G140" s="0" t="n">
        <v>2.0272945</v>
      </c>
      <c r="H140" s="0" t="s">
        <v>352</v>
      </c>
      <c r="I140" s="2" t="b">
        <f aca="false">TRUE()</f>
        <v>1</v>
      </c>
      <c r="J140" s="0" t="str">
        <f aca="false">IF(AND(CODE(MID(B140,2,1))&gt;=97,CODE(MID(B140,2,1))&lt;=122),LEFT(B140,2),LEFT(B140,1))</f>
        <v>Ca</v>
      </c>
      <c r="K140" s="0" t="n">
        <f aca="false">IF(J140="","",_xlfn.XLOOKUP(TRIM(J140),Metallic_Radius_Table!A:A,Metallic_Radius_Table!B:B))</f>
        <v>1.97</v>
      </c>
      <c r="L140" s="0" t="str">
        <f aca="false">IF(ISNUMBER(SEARCH("La",B140)),"La",
 IF(ISNUMBER(SEARCH("Nd",B140)),"Nd",
 IF(ISNUMBER(SEARCH("Eu",B140)),"Eu",
 IF(ISNUMBER(SEARCH("Gd",B140)),"Gd",""))))</f>
        <v/>
      </c>
      <c r="M140" s="0" t="str">
        <f aca="false">IF(L140="","",_xlfn.XLOOKUP(TRIM(L140),Metallic_Radius_Table!A:A,Metallic_Radius_Table!B:B))</f>
        <v/>
      </c>
      <c r="N140" s="0" t="str">
        <f aca="false">TRIM(LEFT(C140,FIND(",",C140)-1))</f>
        <v>Ir</v>
      </c>
      <c r="O140" s="3" t="n">
        <f aca="false">IF(N140="","",_xlfn.XLOOKUP(TRIM(N140),Metallic_Radius_Table!A:A,Metallic_Radius_Table!B:B))</f>
        <v>1.36</v>
      </c>
      <c r="P140" s="0" t="str">
        <f aca="false">TRIM(MID(C140,FIND(",",C140)+1,5))</f>
        <v>Cr</v>
      </c>
      <c r="Q140" s="0" t="n">
        <f aca="false">IF(P140="","",_xlfn.XLOOKUP(TRIM(P140),Metallic_Radius_Table!A:A,Metallic_Radius_Table!B:B))</f>
        <v>1.28</v>
      </c>
      <c r="R140" s="0" t="str">
        <f aca="false">IF(G140&gt;=1,   "Ferromagnetic / Ferrimagnetic",   IF(G140&gt;=0.05,      "Paramagnetic / Weakly magnetic",      "Antiferromagnetic / Diamagnetic"))</f>
        <v>Ferromagnetic / Ferrimagnetic</v>
      </c>
      <c r="U140" s="0" t="str">
        <f aca="false">IF(G140&gt;=1,
   "FM → PM (Curie-type)",
   IF(G140&lt;0.05,
      "AFM → PM (Néel-type)",
      "No long-range magnetic transition"))</f>
        <v>FM → PM (Curie-type)</v>
      </c>
    </row>
    <row r="141" customFormat="false" ht="13.8" hidden="false" customHeight="false" outlineLevel="0" collapsed="false">
      <c r="A141" s="0" t="s">
        <v>356</v>
      </c>
      <c r="B141" s="0" t="s">
        <v>357</v>
      </c>
      <c r="C141" s="0" t="s">
        <v>358</v>
      </c>
      <c r="D141" s="0" t="n">
        <v>-2.768614624</v>
      </c>
      <c r="E141" s="0" t="n">
        <v>0.034184157694442</v>
      </c>
      <c r="F141" s="0" t="n">
        <v>1.69519999999999</v>
      </c>
      <c r="G141" s="0" t="n">
        <v>1.99933199999999</v>
      </c>
      <c r="H141" s="0" t="s">
        <v>58</v>
      </c>
      <c r="I141" s="2" t="b">
        <f aca="false">TRUE()</f>
        <v>1</v>
      </c>
      <c r="J141" s="0" t="str">
        <f aca="false">IF(AND(CODE(MID(B141,2,1))&gt;=97,CODE(MID(B141,2,1))&lt;=122),LEFT(B141,2),LEFT(B141,1))</f>
        <v>Ca</v>
      </c>
      <c r="K141" s="0" t="n">
        <f aca="false">IF(J141="","",_xlfn.XLOOKUP(TRIM(J141),Metallic_Radius_Table!A:A,Metallic_Radius_Table!B:B))</f>
        <v>1.97</v>
      </c>
      <c r="L141" s="0" t="str">
        <f aca="false">IF(ISNUMBER(SEARCH("La",B141)),"La",
 IF(ISNUMBER(SEARCH("Nd",B141)),"Nd",
 IF(ISNUMBER(SEARCH("Eu",B141)),"Eu",
 IF(ISNUMBER(SEARCH("Gd",B141)),"Gd",""))))</f>
        <v/>
      </c>
      <c r="M141" s="0" t="str">
        <f aca="false">IF(L141="","",_xlfn.XLOOKUP(TRIM(L141),Metallic_Radius_Table!A:A,Metallic_Radius_Table!B:B))</f>
        <v/>
      </c>
      <c r="N141" s="0" t="str">
        <f aca="false">TRIM(LEFT(C141,FIND(",",C141)-1))</f>
        <v>W</v>
      </c>
      <c r="O141" s="3" t="n">
        <f aca="false">IF(N141="","",_xlfn.XLOOKUP(TRIM(N141),Metallic_Radius_Table!A:A,Metallic_Radius_Table!B:B))</f>
        <v>1.41</v>
      </c>
      <c r="P141" s="0" t="str">
        <f aca="false">TRIM(MID(C141,FIND(",",C141)+1,5))</f>
        <v>Cr</v>
      </c>
      <c r="Q141" s="0" t="n">
        <f aca="false">IF(P141="","",_xlfn.XLOOKUP(TRIM(P141),Metallic_Radius_Table!A:A,Metallic_Radius_Table!B:B))</f>
        <v>1.28</v>
      </c>
      <c r="R141" s="0" t="str">
        <f aca="false">IF(G141&gt;=1,   "Ferromagnetic / Ferrimagnetic",   IF(G141&gt;=0.05,      "Paramagnetic / Weakly magnetic",      "Antiferromagnetic / Diamagnetic"))</f>
        <v>Ferromagnetic / Ferrimagnetic</v>
      </c>
      <c r="U141" s="0" t="str">
        <f aca="false">IF(G141&gt;=1,
   "FM → PM (Curie-type)",
   IF(G141&lt;0.05,
      "AFM → PM (Néel-type)",
      "No long-range magnetic transition"))</f>
        <v>FM → PM (Curie-type)</v>
      </c>
    </row>
    <row r="142" customFormat="false" ht="13.8" hidden="false" customHeight="false" outlineLevel="0" collapsed="false">
      <c r="A142" s="0" t="s">
        <v>359</v>
      </c>
      <c r="B142" s="0" t="s">
        <v>357</v>
      </c>
      <c r="C142" s="0" t="s">
        <v>358</v>
      </c>
      <c r="D142" s="0" t="n">
        <v>-2.7694489315</v>
      </c>
      <c r="E142" s="0" t="n">
        <v>0.033349850194442</v>
      </c>
      <c r="F142" s="0" t="n">
        <v>1.8837</v>
      </c>
      <c r="G142" s="4" t="n">
        <v>1.45E-005</v>
      </c>
      <c r="H142" s="0" t="s">
        <v>54</v>
      </c>
      <c r="I142" s="2" t="b">
        <f aca="false">TRUE()</f>
        <v>1</v>
      </c>
      <c r="J142" s="0" t="str">
        <f aca="false">IF(AND(CODE(MID(B142,2,1))&gt;=97,CODE(MID(B142,2,1))&lt;=122),LEFT(B142,2),LEFT(B142,1))</f>
        <v>Ca</v>
      </c>
      <c r="K142" s="0" t="n">
        <f aca="false">IF(J142="","",_xlfn.XLOOKUP(TRIM(J142),Metallic_Radius_Table!A:A,Metallic_Radius_Table!B:B))</f>
        <v>1.97</v>
      </c>
      <c r="L142" s="0" t="str">
        <f aca="false">IF(ISNUMBER(SEARCH("La",B142)),"La",
 IF(ISNUMBER(SEARCH("Nd",B142)),"Nd",
 IF(ISNUMBER(SEARCH("Eu",B142)),"Eu",
 IF(ISNUMBER(SEARCH("Gd",B142)),"Gd",""))))</f>
        <v/>
      </c>
      <c r="M142" s="0" t="str">
        <f aca="false">IF(L142="","",_xlfn.XLOOKUP(TRIM(L142),Metallic_Radius_Table!A:A,Metallic_Radius_Table!B:B))</f>
        <v/>
      </c>
      <c r="N142" s="0" t="str">
        <f aca="false">TRIM(LEFT(C142,FIND(",",C142)-1))</f>
        <v>W</v>
      </c>
      <c r="O142" s="3" t="n">
        <f aca="false">IF(N142="","",_xlfn.XLOOKUP(TRIM(N142),Metallic_Radius_Table!A:A,Metallic_Radius_Table!B:B))</f>
        <v>1.41</v>
      </c>
      <c r="P142" s="0" t="str">
        <f aca="false">TRIM(MID(C142,FIND(",",C142)+1,5))</f>
        <v>Cr</v>
      </c>
      <c r="Q142" s="0" t="n">
        <f aca="false">IF(P142="","",_xlfn.XLOOKUP(TRIM(P142),Metallic_Radius_Table!A:A,Metallic_Radius_Table!B:B))</f>
        <v>1.28</v>
      </c>
      <c r="R142" s="0" t="str">
        <f aca="false">IF(G142&gt;=1,   "Ferromagnetic / Ferrimagnetic",   IF(G142&gt;=0.05,      "Paramagnetic / Weakly magnetic",      "Antiferromagnetic / Diamagnetic"))</f>
        <v>Antiferromagnetic / Diamagnetic</v>
      </c>
      <c r="U142" s="0" t="str">
        <f aca="false">IF(G142&gt;=1,
   "FM → PM (Curie-type)",
   IF(G142&lt;0.05,
      "AFM → PM (Néel-type)",
      "No long-range magnetic transition"))</f>
        <v>AFM → PM (Néel-type)</v>
      </c>
    </row>
    <row r="143" customFormat="false" ht="13.8" hidden="false" customHeight="false" outlineLevel="0" collapsed="false">
      <c r="A143" s="0" t="s">
        <v>360</v>
      </c>
      <c r="B143" s="0" t="s">
        <v>357</v>
      </c>
      <c r="C143" s="0" t="s">
        <v>358</v>
      </c>
      <c r="D143" s="0" t="n">
        <v>-2.78768432349999</v>
      </c>
      <c r="E143" s="0" t="n">
        <v>0.015114458194442</v>
      </c>
      <c r="F143" s="0" t="n">
        <v>1.7595</v>
      </c>
      <c r="G143" s="0" t="n">
        <v>3.9998085</v>
      </c>
      <c r="H143" s="0" t="s">
        <v>352</v>
      </c>
      <c r="I143" s="2" t="b">
        <f aca="false">TRUE()</f>
        <v>1</v>
      </c>
      <c r="J143" s="0" t="str">
        <f aca="false">IF(AND(CODE(MID(B143,2,1))&gt;=97,CODE(MID(B143,2,1))&lt;=122),LEFT(B143,2),LEFT(B143,1))</f>
        <v>Ca</v>
      </c>
      <c r="K143" s="0" t="n">
        <f aca="false">IF(J143="","",_xlfn.XLOOKUP(TRIM(J143),Metallic_Radius_Table!A:A,Metallic_Radius_Table!B:B))</f>
        <v>1.97</v>
      </c>
      <c r="L143" s="0" t="str">
        <f aca="false">IF(ISNUMBER(SEARCH("La",B143)),"La",
 IF(ISNUMBER(SEARCH("Nd",B143)),"Nd",
 IF(ISNUMBER(SEARCH("Eu",B143)),"Eu",
 IF(ISNUMBER(SEARCH("Gd",B143)),"Gd",""))))</f>
        <v/>
      </c>
      <c r="M143" s="0" t="str">
        <f aca="false">IF(L143="","",_xlfn.XLOOKUP(TRIM(L143),Metallic_Radius_Table!A:A,Metallic_Radius_Table!B:B))</f>
        <v/>
      </c>
      <c r="N143" s="0" t="str">
        <f aca="false">TRIM(LEFT(C143,FIND(",",C143)-1))</f>
        <v>W</v>
      </c>
      <c r="O143" s="3" t="n">
        <f aca="false">IF(N143="","",_xlfn.XLOOKUP(TRIM(N143),Metallic_Radius_Table!A:A,Metallic_Radius_Table!B:B))</f>
        <v>1.41</v>
      </c>
      <c r="P143" s="0" t="str">
        <f aca="false">TRIM(MID(C143,FIND(",",C143)+1,5))</f>
        <v>Cr</v>
      </c>
      <c r="Q143" s="0" t="n">
        <f aca="false">IF(P143="","",_xlfn.XLOOKUP(TRIM(P143),Metallic_Radius_Table!A:A,Metallic_Radius_Table!B:B))</f>
        <v>1.28</v>
      </c>
      <c r="R143" s="0" t="str">
        <f aca="false">IF(G143&gt;=1,   "Ferromagnetic / Ferrimagnetic",   IF(G143&gt;=0.05,      "Paramagnetic / Weakly magnetic",      "Antiferromagnetic / Diamagnetic"))</f>
        <v>Ferromagnetic / Ferrimagnetic</v>
      </c>
      <c r="U143" s="0" t="str">
        <f aca="false">IF(G143&gt;=1,
   "FM → PM (Curie-type)",
   IF(G143&lt;0.05,
      "AFM → PM (Néel-type)",
      "No long-range magnetic transition"))</f>
        <v>FM → PM (Curie-type)</v>
      </c>
    </row>
    <row r="144" customFormat="false" ht="13.8" hidden="false" customHeight="false" outlineLevel="0" collapsed="false">
      <c r="A144" s="0" t="s">
        <v>361</v>
      </c>
      <c r="B144" s="0" t="s">
        <v>357</v>
      </c>
      <c r="C144" s="0" t="s">
        <v>358</v>
      </c>
      <c r="D144" s="0" t="n">
        <v>-2.76834286299999</v>
      </c>
      <c r="E144" s="0" t="n">
        <v>0.034455918694442</v>
      </c>
      <c r="F144" s="0" t="n">
        <v>1.6023</v>
      </c>
      <c r="G144" s="0" t="n">
        <v>2.0041526</v>
      </c>
      <c r="H144" s="0" t="s">
        <v>58</v>
      </c>
      <c r="I144" s="2" t="b">
        <f aca="false">TRUE()</f>
        <v>1</v>
      </c>
      <c r="J144" s="0" t="str">
        <f aca="false">IF(AND(CODE(MID(B144,2,1))&gt;=97,CODE(MID(B144,2,1))&lt;=122),LEFT(B144,2),LEFT(B144,1))</f>
        <v>Ca</v>
      </c>
      <c r="K144" s="0" t="n">
        <f aca="false">IF(J144="","",_xlfn.XLOOKUP(TRIM(J144),Metallic_Radius_Table!A:A,Metallic_Radius_Table!B:B))</f>
        <v>1.97</v>
      </c>
      <c r="L144" s="0" t="str">
        <f aca="false">IF(ISNUMBER(SEARCH("La",B144)),"La",
 IF(ISNUMBER(SEARCH("Nd",B144)),"Nd",
 IF(ISNUMBER(SEARCH("Eu",B144)),"Eu",
 IF(ISNUMBER(SEARCH("Gd",B144)),"Gd",""))))</f>
        <v/>
      </c>
      <c r="M144" s="0" t="str">
        <f aca="false">IF(L144="","",_xlfn.XLOOKUP(TRIM(L144),Metallic_Radius_Table!A:A,Metallic_Radius_Table!B:B))</f>
        <v/>
      </c>
      <c r="N144" s="0" t="str">
        <f aca="false">TRIM(LEFT(C144,FIND(",",C144)-1))</f>
        <v>W</v>
      </c>
      <c r="O144" s="3" t="n">
        <f aca="false">IF(N144="","",_xlfn.XLOOKUP(TRIM(N144),Metallic_Radius_Table!A:A,Metallic_Radius_Table!B:B))</f>
        <v>1.41</v>
      </c>
      <c r="P144" s="0" t="str">
        <f aca="false">TRIM(MID(C144,FIND(",",C144)+1,5))</f>
        <v>Cr</v>
      </c>
      <c r="Q144" s="0" t="n">
        <f aca="false">IF(P144="","",_xlfn.XLOOKUP(TRIM(P144),Metallic_Radius_Table!A:A,Metallic_Radius_Table!B:B))</f>
        <v>1.28</v>
      </c>
      <c r="R144" s="0" t="str">
        <f aca="false">IF(G144&gt;=1,   "Ferromagnetic / Ferrimagnetic",   IF(G144&gt;=0.05,      "Paramagnetic / Weakly magnetic",      "Antiferromagnetic / Diamagnetic"))</f>
        <v>Ferromagnetic / Ferrimagnetic</v>
      </c>
      <c r="U144" s="0" t="str">
        <f aca="false">IF(G144&gt;=1,
   "FM → PM (Curie-type)",
   IF(G144&lt;0.05,
      "AFM → PM (Néel-type)",
      "No long-range magnetic transition"))</f>
        <v>FM → PM (Curie-type)</v>
      </c>
    </row>
    <row r="145" customFormat="false" ht="13.8" hidden="false" customHeight="false" outlineLevel="0" collapsed="false">
      <c r="A145" s="0" t="s">
        <v>362</v>
      </c>
      <c r="B145" s="0" t="s">
        <v>363</v>
      </c>
      <c r="C145" s="0" t="s">
        <v>364</v>
      </c>
      <c r="D145" s="0" t="n">
        <v>-2.24188327125</v>
      </c>
      <c r="E145" s="0" t="n">
        <v>0</v>
      </c>
      <c r="F145" s="0" t="n">
        <v>0</v>
      </c>
      <c r="G145" s="0" t="n">
        <v>7.9770048</v>
      </c>
      <c r="H145" s="0" t="s">
        <v>352</v>
      </c>
      <c r="I145" s="2" t="b">
        <f aca="false">TRUE()</f>
        <v>1</v>
      </c>
      <c r="J145" s="0" t="str">
        <f aca="false">IF(AND(CODE(MID(B145,2,1))&gt;=97,CODE(MID(B145,2,1))&lt;=122),LEFT(B145,2),LEFT(B145,1))</f>
        <v>Ca</v>
      </c>
      <c r="K145" s="0" t="n">
        <f aca="false">IF(J145="","",_xlfn.XLOOKUP(TRIM(J145),Metallic_Radius_Table!A:A,Metallic_Radius_Table!B:B))</f>
        <v>1.97</v>
      </c>
      <c r="L145" s="0" t="str">
        <f aca="false">IF(ISNUMBER(SEARCH("La",B145)),"La",
 IF(ISNUMBER(SEARCH("Nd",B145)),"Nd",
 IF(ISNUMBER(SEARCH("Eu",B145)),"Eu",
 IF(ISNUMBER(SEARCH("Gd",B145)),"Gd",""))))</f>
        <v/>
      </c>
      <c r="M145" s="0" t="str">
        <f aca="false">IF(L145="","",_xlfn.XLOOKUP(TRIM(L145),Metallic_Radius_Table!A:A,Metallic_Radius_Table!B:B))</f>
        <v/>
      </c>
      <c r="N145" s="0" t="str">
        <f aca="false">TRIM(LEFT(C145,FIND(",",C145)-1))</f>
        <v>Fe</v>
      </c>
      <c r="O145" s="3" t="n">
        <f aca="false">IF(N145="","",_xlfn.XLOOKUP(TRIM(N145),Metallic_Radius_Table!A:A,Metallic_Radius_Table!B:B))</f>
        <v>1.26</v>
      </c>
      <c r="P145" s="0" t="str">
        <f aca="false">TRIM(MID(C145,FIND(",",C145)+1,5))</f>
        <v>Ir</v>
      </c>
      <c r="Q145" s="0" t="n">
        <f aca="false">IF(P145="","",_xlfn.XLOOKUP(TRIM(P145),Metallic_Radius_Table!A:A,Metallic_Radius_Table!B:B))</f>
        <v>1.36</v>
      </c>
      <c r="R145" s="0" t="str">
        <f aca="false">IF(G145&gt;=1,   "Ferromagnetic / Ferrimagnetic",   IF(G145&gt;=0.05,      "Paramagnetic / Weakly magnetic",      "Antiferromagnetic / Diamagnetic"))</f>
        <v>Ferromagnetic / Ferrimagnetic</v>
      </c>
      <c r="U145" s="0" t="str">
        <f aca="false">IF(G145&gt;=1,
   "FM → PM (Curie-type)",
   IF(G145&lt;0.05,
      "AFM → PM (Néel-type)",
      "No long-range magnetic transition"))</f>
        <v>FM → PM (Curie-type)</v>
      </c>
    </row>
    <row r="146" customFormat="false" ht="13.8" hidden="false" customHeight="false" outlineLevel="0" collapsed="false">
      <c r="A146" s="0" t="s">
        <v>365</v>
      </c>
      <c r="B146" s="0" t="s">
        <v>366</v>
      </c>
      <c r="C146" s="0" t="s">
        <v>42</v>
      </c>
      <c r="D146" s="0" t="n">
        <v>-2.54806293299999</v>
      </c>
      <c r="E146" s="0" t="n">
        <v>0.003955293000005</v>
      </c>
      <c r="F146" s="0" t="n">
        <v>1.1193</v>
      </c>
      <c r="G146" s="0" t="n">
        <v>11.9991657</v>
      </c>
      <c r="H146" s="0" t="s">
        <v>352</v>
      </c>
      <c r="I146" s="2" t="b">
        <f aca="false">TRUE()</f>
        <v>1</v>
      </c>
      <c r="J146" s="0" t="str">
        <f aca="false">IF(AND(CODE(MID(B146,2,1))&gt;=97,CODE(MID(B146,2,1))&lt;=122),LEFT(B146,2),LEFT(B146,1))</f>
        <v>Ca</v>
      </c>
      <c r="K146" s="0" t="n">
        <f aca="false">IF(J146="","",_xlfn.XLOOKUP(TRIM(J146),Metallic_Radius_Table!A:A,Metallic_Radius_Table!B:B))</f>
        <v>1.97</v>
      </c>
      <c r="L146" s="0" t="str">
        <f aca="false">IF(ISNUMBER(SEARCH("La",B146)),"La",
 IF(ISNUMBER(SEARCH("Nd",B146)),"Nd",
 IF(ISNUMBER(SEARCH("Eu",B146)),"Eu",
 IF(ISNUMBER(SEARCH("Gd",B146)),"Gd",""))))</f>
        <v/>
      </c>
      <c r="M146" s="0" t="str">
        <f aca="false">IF(L146="","",_xlfn.XLOOKUP(TRIM(L146),Metallic_Radius_Table!A:A,Metallic_Radius_Table!B:B))</f>
        <v/>
      </c>
      <c r="N146" s="0" t="str">
        <f aca="false">TRIM(LEFT(C146,FIND(",",C146)-1))</f>
        <v>Fe</v>
      </c>
      <c r="O146" s="3" t="n">
        <f aca="false">IF(N146="","",_xlfn.XLOOKUP(TRIM(N146),Metallic_Radius_Table!A:A,Metallic_Radius_Table!B:B))</f>
        <v>1.26</v>
      </c>
      <c r="P146" s="0" t="str">
        <f aca="false">TRIM(MID(C146,FIND(",",C146)+1,5))</f>
        <v>Mo</v>
      </c>
      <c r="Q146" s="0" t="n">
        <f aca="false">IF(P146="","",_xlfn.XLOOKUP(TRIM(P146),Metallic_Radius_Table!A:A,Metallic_Radius_Table!B:B))</f>
        <v>1.39</v>
      </c>
      <c r="R146" s="0" t="str">
        <f aca="false">IF(G146&gt;=1,   "Ferromagnetic / Ferrimagnetic",   IF(G146&gt;=0.05,      "Paramagnetic / Weakly magnetic",      "Antiferromagnetic / Diamagnetic"))</f>
        <v>Ferromagnetic / Ferrimagnetic</v>
      </c>
      <c r="U146" s="0" t="str">
        <f aca="false">IF(G146&gt;=1,
   "FM → PM (Curie-type)",
   IF(G146&lt;0.05,
      "AFM → PM (Néel-type)",
      "No long-range magnetic transition"))</f>
        <v>FM → PM (Curie-type)</v>
      </c>
    </row>
    <row r="147" customFormat="false" ht="13.8" hidden="false" customHeight="false" outlineLevel="0" collapsed="false">
      <c r="A147" s="0" t="s">
        <v>367</v>
      </c>
      <c r="B147" s="0" t="s">
        <v>368</v>
      </c>
      <c r="C147" s="0" t="s">
        <v>50</v>
      </c>
      <c r="D147" s="0" t="n">
        <v>-2.55467773025</v>
      </c>
      <c r="E147" s="0" t="n">
        <v>0</v>
      </c>
      <c r="F147" s="0" t="n">
        <v>0</v>
      </c>
      <c r="G147" s="0" t="n">
        <v>11.9999981</v>
      </c>
      <c r="H147" s="0" t="s">
        <v>352</v>
      </c>
      <c r="I147" s="2" t="b">
        <f aca="false">TRUE()</f>
        <v>1</v>
      </c>
      <c r="J147" s="0" t="str">
        <f aca="false">IF(AND(CODE(MID(B147,2,1))&gt;=97,CODE(MID(B147,2,1))&lt;=122),LEFT(B147,2),LEFT(B147,1))</f>
        <v>Ca</v>
      </c>
      <c r="K147" s="0" t="n">
        <f aca="false">IF(J147="","",_xlfn.XLOOKUP(TRIM(J147),Metallic_Radius_Table!A:A,Metallic_Radius_Table!B:B))</f>
        <v>1.97</v>
      </c>
      <c r="L147" s="0" t="str">
        <f aca="false">IF(ISNUMBER(SEARCH("La",B147)),"La",
 IF(ISNUMBER(SEARCH("Nd",B147)),"Nd",
 IF(ISNUMBER(SEARCH("Eu",B147)),"Eu",
 IF(ISNUMBER(SEARCH("Gd",B147)),"Gd",""))))</f>
        <v/>
      </c>
      <c r="M147" s="0" t="str">
        <f aca="false">IF(L147="","",_xlfn.XLOOKUP(TRIM(L147),Metallic_Radius_Table!A:A,Metallic_Radius_Table!B:B))</f>
        <v/>
      </c>
      <c r="N147" s="0" t="str">
        <f aca="false">TRIM(LEFT(C147,FIND(",",C147)-1))</f>
        <v>Re</v>
      </c>
      <c r="O147" s="3" t="n">
        <f aca="false">IF(N147="","",_xlfn.XLOOKUP(TRIM(N147),Metallic_Radius_Table!A:A,Metallic_Radius_Table!B:B))</f>
        <v>1.37</v>
      </c>
      <c r="P147" s="0" t="str">
        <f aca="false">TRIM(MID(C147,FIND(",",C147)+1,5))</f>
        <v>Fe</v>
      </c>
      <c r="Q147" s="0" t="n">
        <f aca="false">IF(P147="","",_xlfn.XLOOKUP(TRIM(P147),Metallic_Radius_Table!A:A,Metallic_Radius_Table!B:B))</f>
        <v>1.26</v>
      </c>
      <c r="R147" s="0" t="str">
        <f aca="false">IF(G147&gt;=1,   "Ferromagnetic / Ferrimagnetic",   IF(G147&gt;=0.05,      "Paramagnetic / Weakly magnetic",      "Antiferromagnetic / Diamagnetic"))</f>
        <v>Ferromagnetic / Ferrimagnetic</v>
      </c>
      <c r="U147" s="0" t="str">
        <f aca="false">IF(G147&gt;=1,
   "FM → PM (Curie-type)",
   IF(G147&lt;0.05,
      "AFM → PM (Néel-type)",
      "No long-range magnetic transition"))</f>
        <v>FM → PM (Curie-type)</v>
      </c>
    </row>
    <row r="148" customFormat="false" ht="13.8" hidden="false" customHeight="false" outlineLevel="0" collapsed="false">
      <c r="A148" s="0" t="s">
        <v>369</v>
      </c>
      <c r="B148" s="0" t="s">
        <v>370</v>
      </c>
      <c r="C148" s="0" t="s">
        <v>53</v>
      </c>
      <c r="D148" s="0" t="n">
        <v>-2.65016495749999</v>
      </c>
      <c r="E148" s="0" t="n">
        <v>0.0223446715</v>
      </c>
      <c r="F148" s="0" t="n">
        <v>3.26309999999999</v>
      </c>
      <c r="G148" s="0" t="n">
        <v>0.000117799999999</v>
      </c>
      <c r="H148" s="0" t="s">
        <v>58</v>
      </c>
      <c r="I148" s="2" t="b">
        <f aca="false">TRUE()</f>
        <v>1</v>
      </c>
      <c r="J148" s="0" t="str">
        <f aca="false">IF(AND(CODE(MID(B148,2,1))&gt;=97,CODE(MID(B148,2,1))&lt;=122),LEFT(B148,2),LEFT(B148,1))</f>
        <v>Ca</v>
      </c>
      <c r="K148" s="0" t="n">
        <f aca="false">IF(J148="","",_xlfn.XLOOKUP(TRIM(J148),Metallic_Radius_Table!A:A,Metallic_Radius_Table!B:B))</f>
        <v>1.97</v>
      </c>
      <c r="L148" s="0" t="str">
        <f aca="false">IF(ISNUMBER(SEARCH("La",B148)),"La",
 IF(ISNUMBER(SEARCH("Nd",B148)),"Nd",
 IF(ISNUMBER(SEARCH("Eu",B148)),"Eu",
 IF(ISNUMBER(SEARCH("Gd",B148)),"Gd",""))))</f>
        <v/>
      </c>
      <c r="M148" s="0" t="str">
        <f aca="false">IF(L148="","",_xlfn.XLOOKUP(TRIM(L148),Metallic_Radius_Table!A:A,Metallic_Radius_Table!B:B))</f>
        <v/>
      </c>
      <c r="N148" s="0" t="str">
        <f aca="false">TRIM(LEFT(C148,FIND(",",C148)-1))</f>
        <v>Fe</v>
      </c>
      <c r="O148" s="3" t="n">
        <f aca="false">IF(N148="","",_xlfn.XLOOKUP(TRIM(N148),Metallic_Radius_Table!A:A,Metallic_Radius_Table!B:B))</f>
        <v>1.26</v>
      </c>
      <c r="P148" s="0" t="str">
        <f aca="false">TRIM(MID(C148,FIND(",",C148)+1,5))</f>
        <v>W</v>
      </c>
      <c r="Q148" s="0" t="n">
        <f aca="false">IF(P148="","",_xlfn.XLOOKUP(TRIM(P148),Metallic_Radius_Table!A:A,Metallic_Radius_Table!B:B))</f>
        <v>1.41</v>
      </c>
      <c r="R148" s="0" t="str">
        <f aca="false">IF(G148&gt;=1,   "Ferromagnetic / Ferrimagnetic",   IF(G148&gt;=0.05,      "Paramagnetic / Weakly magnetic",      "Antiferromagnetic / Diamagnetic"))</f>
        <v>Antiferromagnetic / Diamagnetic</v>
      </c>
      <c r="U148" s="0" t="str">
        <f aca="false">IF(G148&gt;=1,
   "FM → PM (Curie-type)",
   IF(G148&lt;0.05,
      "AFM → PM (Néel-type)",
      "No long-range magnetic transition"))</f>
        <v>AFM → PM (Néel-type)</v>
      </c>
    </row>
    <row r="149" customFormat="false" ht="13.8" hidden="false" customHeight="false" outlineLevel="0" collapsed="false">
      <c r="A149" s="0" t="s">
        <v>371</v>
      </c>
      <c r="B149" s="0" t="s">
        <v>370</v>
      </c>
      <c r="C149" s="0" t="s">
        <v>53</v>
      </c>
      <c r="D149" s="0" t="n">
        <v>-2.672509629</v>
      </c>
      <c r="E149" s="0" t="n">
        <v>0</v>
      </c>
      <c r="F149" s="0" t="n">
        <v>3.0012</v>
      </c>
      <c r="G149" s="0" t="n">
        <v>8.0009437</v>
      </c>
      <c r="H149" s="0" t="s">
        <v>352</v>
      </c>
      <c r="I149" s="2" t="b">
        <f aca="false">TRUE()</f>
        <v>1</v>
      </c>
      <c r="J149" s="0" t="str">
        <f aca="false">IF(AND(CODE(MID(B149,2,1))&gt;=97,CODE(MID(B149,2,1))&lt;=122),LEFT(B149,2),LEFT(B149,1))</f>
        <v>Ca</v>
      </c>
      <c r="K149" s="0" t="n">
        <f aca="false">IF(J149="","",_xlfn.XLOOKUP(TRIM(J149),Metallic_Radius_Table!A:A,Metallic_Radius_Table!B:B))</f>
        <v>1.97</v>
      </c>
      <c r="L149" s="0" t="str">
        <f aca="false">IF(ISNUMBER(SEARCH("La",B149)),"La",
 IF(ISNUMBER(SEARCH("Nd",B149)),"Nd",
 IF(ISNUMBER(SEARCH("Eu",B149)),"Eu",
 IF(ISNUMBER(SEARCH("Gd",B149)),"Gd",""))))</f>
        <v/>
      </c>
      <c r="M149" s="0" t="str">
        <f aca="false">IF(L149="","",_xlfn.XLOOKUP(TRIM(L149),Metallic_Radius_Table!A:A,Metallic_Radius_Table!B:B))</f>
        <v/>
      </c>
      <c r="N149" s="0" t="str">
        <f aca="false">TRIM(LEFT(C149,FIND(",",C149)-1))</f>
        <v>Fe</v>
      </c>
      <c r="O149" s="3" t="n">
        <f aca="false">IF(N149="","",_xlfn.XLOOKUP(TRIM(N149),Metallic_Radius_Table!A:A,Metallic_Radius_Table!B:B))</f>
        <v>1.26</v>
      </c>
      <c r="P149" s="0" t="str">
        <f aca="false">TRIM(MID(C149,FIND(",",C149)+1,5))</f>
        <v>W</v>
      </c>
      <c r="Q149" s="0" t="n">
        <f aca="false">IF(P149="","",_xlfn.XLOOKUP(TRIM(P149),Metallic_Radius_Table!A:A,Metallic_Radius_Table!B:B))</f>
        <v>1.41</v>
      </c>
      <c r="R149" s="0" t="str">
        <f aca="false">IF(G149&gt;=1,   "Ferromagnetic / Ferrimagnetic",   IF(G149&gt;=0.05,      "Paramagnetic / Weakly magnetic",      "Antiferromagnetic / Diamagnetic"))</f>
        <v>Ferromagnetic / Ferrimagnetic</v>
      </c>
      <c r="U149" s="0" t="str">
        <f aca="false">IF(G149&gt;=1,
   "FM → PM (Curie-type)",
   IF(G149&lt;0.05,
      "AFM → PM (Néel-type)",
      "No long-range magnetic transition"))</f>
        <v>FM → PM (Curie-type)</v>
      </c>
    </row>
    <row r="150" customFormat="false" ht="13.8" hidden="false" customHeight="false" outlineLevel="0" collapsed="false">
      <c r="A150" s="0" t="s">
        <v>372</v>
      </c>
      <c r="B150" s="0" t="s">
        <v>370</v>
      </c>
      <c r="C150" s="0" t="s">
        <v>53</v>
      </c>
      <c r="D150" s="0" t="n">
        <v>-2.486460758</v>
      </c>
      <c r="E150" s="0" t="n">
        <v>0.186048871</v>
      </c>
      <c r="F150" s="0" t="n">
        <v>0</v>
      </c>
      <c r="G150" s="0" t="n">
        <v>4.0000202</v>
      </c>
      <c r="H150" s="0" t="s">
        <v>22</v>
      </c>
      <c r="I150" s="2" t="b">
        <f aca="false">TRUE()</f>
        <v>1</v>
      </c>
      <c r="J150" s="0" t="str">
        <f aca="false">IF(AND(CODE(MID(B150,2,1))&gt;=97,CODE(MID(B150,2,1))&lt;=122),LEFT(B150,2),LEFT(B150,1))</f>
        <v>Ca</v>
      </c>
      <c r="K150" s="0" t="n">
        <f aca="false">IF(J150="","",_xlfn.XLOOKUP(TRIM(J150),Metallic_Radius_Table!A:A,Metallic_Radius_Table!B:B))</f>
        <v>1.97</v>
      </c>
      <c r="L150" s="0" t="str">
        <f aca="false">IF(ISNUMBER(SEARCH("La",B150)),"La",
 IF(ISNUMBER(SEARCH("Nd",B150)),"Nd",
 IF(ISNUMBER(SEARCH("Eu",B150)),"Eu",
 IF(ISNUMBER(SEARCH("Gd",B150)),"Gd",""))))</f>
        <v/>
      </c>
      <c r="M150" s="0" t="str">
        <f aca="false">IF(L150="","",_xlfn.XLOOKUP(TRIM(L150),Metallic_Radius_Table!A:A,Metallic_Radius_Table!B:B))</f>
        <v/>
      </c>
      <c r="N150" s="0" t="str">
        <f aca="false">TRIM(LEFT(C150,FIND(",",C150)-1))</f>
        <v>Fe</v>
      </c>
      <c r="O150" s="3" t="n">
        <f aca="false">IF(N150="","",_xlfn.XLOOKUP(TRIM(N150),Metallic_Radius_Table!A:A,Metallic_Radius_Table!B:B))</f>
        <v>1.26</v>
      </c>
      <c r="P150" s="0" t="str">
        <f aca="false">TRIM(MID(C150,FIND(",",C150)+1,5))</f>
        <v>W</v>
      </c>
      <c r="Q150" s="0" t="n">
        <f aca="false">IF(P150="","",_xlfn.XLOOKUP(TRIM(P150),Metallic_Radius_Table!A:A,Metallic_Radius_Table!B:B))</f>
        <v>1.41</v>
      </c>
      <c r="R150" s="0" t="str">
        <f aca="false">IF(G150&gt;=1,   "Ferromagnetic / Ferrimagnetic",   IF(G150&gt;=0.05,      "Paramagnetic / Weakly magnetic",      "Antiferromagnetic / Diamagnetic"))</f>
        <v>Ferromagnetic / Ferrimagnetic</v>
      </c>
      <c r="U150" s="0" t="str">
        <f aca="false">IF(G150&gt;=1,
   "FM → PM (Curie-type)",
   IF(G150&lt;0.05,
      "AFM → PM (Néel-type)",
      "No long-range magnetic transition"))</f>
        <v>FM → PM (Curie-type)</v>
      </c>
    </row>
    <row r="151" customFormat="false" ht="13.8" hidden="false" customHeight="false" outlineLevel="0" collapsed="false">
      <c r="A151" s="0" t="s">
        <v>373</v>
      </c>
      <c r="B151" s="0" t="s">
        <v>370</v>
      </c>
      <c r="C151" s="0" t="s">
        <v>53</v>
      </c>
      <c r="D151" s="0" t="n">
        <v>-2.54678106799999</v>
      </c>
      <c r="E151" s="0" t="n">
        <v>0.125728561</v>
      </c>
      <c r="F151" s="0" t="n">
        <v>2.7594</v>
      </c>
      <c r="G151" s="0" t="n">
        <v>4.0000248</v>
      </c>
      <c r="H151" s="0" t="s">
        <v>374</v>
      </c>
      <c r="I151" s="2" t="b">
        <f aca="false">TRUE()</f>
        <v>1</v>
      </c>
      <c r="J151" s="0" t="str">
        <f aca="false">IF(AND(CODE(MID(B151,2,1))&gt;=97,CODE(MID(B151,2,1))&lt;=122),LEFT(B151,2),LEFT(B151,1))</f>
        <v>Ca</v>
      </c>
      <c r="K151" s="0" t="n">
        <f aca="false">IF(J151="","",_xlfn.XLOOKUP(TRIM(J151),Metallic_Radius_Table!A:A,Metallic_Radius_Table!B:B))</f>
        <v>1.97</v>
      </c>
      <c r="L151" s="0" t="str">
        <f aca="false">IF(ISNUMBER(SEARCH("La",B151)),"La",
 IF(ISNUMBER(SEARCH("Nd",B151)),"Nd",
 IF(ISNUMBER(SEARCH("Eu",B151)),"Eu",
 IF(ISNUMBER(SEARCH("Gd",B151)),"Gd",""))))</f>
        <v/>
      </c>
      <c r="M151" s="0" t="str">
        <f aca="false">IF(L151="","",_xlfn.XLOOKUP(TRIM(L151),Metallic_Radius_Table!A:A,Metallic_Radius_Table!B:B))</f>
        <v/>
      </c>
      <c r="N151" s="0" t="str">
        <f aca="false">TRIM(LEFT(C151,FIND(",",C151)-1))</f>
        <v>Fe</v>
      </c>
      <c r="O151" s="3" t="n">
        <f aca="false">IF(N151="","",_xlfn.XLOOKUP(TRIM(N151),Metallic_Radius_Table!A:A,Metallic_Radius_Table!B:B))</f>
        <v>1.26</v>
      </c>
      <c r="P151" s="0" t="str">
        <f aca="false">TRIM(MID(C151,FIND(",",C151)+1,5))</f>
        <v>W</v>
      </c>
      <c r="Q151" s="0" t="n">
        <f aca="false">IF(P151="","",_xlfn.XLOOKUP(TRIM(P151),Metallic_Radius_Table!A:A,Metallic_Radius_Table!B:B))</f>
        <v>1.41</v>
      </c>
      <c r="R151" s="0" t="str">
        <f aca="false">IF(G151&gt;=1,   "Ferromagnetic / Ferrimagnetic",   IF(G151&gt;=0.05,      "Paramagnetic / Weakly magnetic",      "Antiferromagnetic / Diamagnetic"))</f>
        <v>Ferromagnetic / Ferrimagnetic</v>
      </c>
      <c r="U151" s="0" t="str">
        <f aca="false">IF(G151&gt;=1,
   "FM → PM (Curie-type)",
   IF(G151&lt;0.05,
      "AFM → PM (Néel-type)",
      "No long-range magnetic transition"))</f>
        <v>FM → PM (Curie-type)</v>
      </c>
    </row>
    <row r="152" customFormat="false" ht="13.8" hidden="false" customHeight="false" outlineLevel="0" collapsed="false">
      <c r="A152" s="0" t="s">
        <v>375</v>
      </c>
      <c r="B152" s="0" t="s">
        <v>370</v>
      </c>
      <c r="C152" s="0" t="s">
        <v>53</v>
      </c>
      <c r="D152" s="0" t="n">
        <v>-2.485544567</v>
      </c>
      <c r="E152" s="0" t="n">
        <v>0.186965062</v>
      </c>
      <c r="F152" s="0" t="n">
        <v>2.5738</v>
      </c>
      <c r="G152" s="0" t="n">
        <v>4.0002187</v>
      </c>
      <c r="H152" s="0" t="s">
        <v>28</v>
      </c>
      <c r="I152" s="2" t="b">
        <f aca="false">TRUE()</f>
        <v>1</v>
      </c>
      <c r="J152" s="0" t="str">
        <f aca="false">IF(AND(CODE(MID(B152,2,1))&gt;=97,CODE(MID(B152,2,1))&lt;=122),LEFT(B152,2),LEFT(B152,1))</f>
        <v>Ca</v>
      </c>
      <c r="K152" s="0" t="n">
        <f aca="false">IF(J152="","",_xlfn.XLOOKUP(TRIM(J152),Metallic_Radius_Table!A:A,Metallic_Radius_Table!B:B))</f>
        <v>1.97</v>
      </c>
      <c r="L152" s="0" t="str">
        <f aca="false">IF(ISNUMBER(SEARCH("La",B152)),"La",
 IF(ISNUMBER(SEARCH("Nd",B152)),"Nd",
 IF(ISNUMBER(SEARCH("Eu",B152)),"Eu",
 IF(ISNUMBER(SEARCH("Gd",B152)),"Gd",""))))</f>
        <v/>
      </c>
      <c r="M152" s="0" t="str">
        <f aca="false">IF(L152="","",_xlfn.XLOOKUP(TRIM(L152),Metallic_Radius_Table!A:A,Metallic_Radius_Table!B:B))</f>
        <v/>
      </c>
      <c r="N152" s="0" t="str">
        <f aca="false">TRIM(LEFT(C152,FIND(",",C152)-1))</f>
        <v>Fe</v>
      </c>
      <c r="O152" s="3" t="n">
        <f aca="false">IF(N152="","",_xlfn.XLOOKUP(TRIM(N152),Metallic_Radius_Table!A:A,Metallic_Radius_Table!B:B))</f>
        <v>1.26</v>
      </c>
      <c r="P152" s="0" t="str">
        <f aca="false">TRIM(MID(C152,FIND(",",C152)+1,5))</f>
        <v>W</v>
      </c>
      <c r="Q152" s="0" t="n">
        <f aca="false">IF(P152="","",_xlfn.XLOOKUP(TRIM(P152),Metallic_Radius_Table!A:A,Metallic_Radius_Table!B:B))</f>
        <v>1.41</v>
      </c>
      <c r="R152" s="0" t="str">
        <f aca="false">IF(G152&gt;=1,   "Ferromagnetic / Ferrimagnetic",   IF(G152&gt;=0.05,      "Paramagnetic / Weakly magnetic",      "Antiferromagnetic / Diamagnetic"))</f>
        <v>Ferromagnetic / Ferrimagnetic</v>
      </c>
      <c r="U152" s="0" t="str">
        <f aca="false">IF(G152&gt;=1,
   "FM → PM (Curie-type)",
   IF(G152&lt;0.05,
      "AFM → PM (Néel-type)",
      "No long-range magnetic transition"))</f>
        <v>FM → PM (Curie-type)</v>
      </c>
    </row>
    <row r="153" customFormat="false" ht="13.8" hidden="false" customHeight="false" outlineLevel="0" collapsed="false">
      <c r="A153" s="0" t="s">
        <v>376</v>
      </c>
      <c r="B153" s="0" t="s">
        <v>370</v>
      </c>
      <c r="C153" s="0" t="s">
        <v>53</v>
      </c>
      <c r="D153" s="0" t="n">
        <v>-2.50112905749999</v>
      </c>
      <c r="E153" s="0" t="n">
        <v>0.1713805715</v>
      </c>
      <c r="F153" s="0" t="n">
        <v>1.875</v>
      </c>
      <c r="G153" s="0" t="n">
        <v>12.0000017</v>
      </c>
      <c r="H153" s="0" t="s">
        <v>377</v>
      </c>
      <c r="I153" s="2" t="b">
        <f aca="false">TRUE()</f>
        <v>1</v>
      </c>
      <c r="J153" s="0" t="str">
        <f aca="false">IF(AND(CODE(MID(B153,2,1))&gt;=97,CODE(MID(B153,2,1))&lt;=122),LEFT(B153,2),LEFT(B153,1))</f>
        <v>Ca</v>
      </c>
      <c r="K153" s="0" t="n">
        <f aca="false">IF(J153="","",_xlfn.XLOOKUP(TRIM(J153),Metallic_Radius_Table!A:A,Metallic_Radius_Table!B:B))</f>
        <v>1.97</v>
      </c>
      <c r="L153" s="0" t="str">
        <f aca="false">IF(ISNUMBER(SEARCH("La",B153)),"La",
 IF(ISNUMBER(SEARCH("Nd",B153)),"Nd",
 IF(ISNUMBER(SEARCH("Eu",B153)),"Eu",
 IF(ISNUMBER(SEARCH("Gd",B153)),"Gd",""))))</f>
        <v/>
      </c>
      <c r="M153" s="0" t="str">
        <f aca="false">IF(L153="","",_xlfn.XLOOKUP(TRIM(L153),Metallic_Radius_Table!A:A,Metallic_Radius_Table!B:B))</f>
        <v/>
      </c>
      <c r="N153" s="0" t="str">
        <f aca="false">TRIM(LEFT(C153,FIND(",",C153)-1))</f>
        <v>Fe</v>
      </c>
      <c r="O153" s="3" t="n">
        <f aca="false">IF(N153="","",_xlfn.XLOOKUP(TRIM(N153),Metallic_Radius_Table!A:A,Metallic_Radius_Table!B:B))</f>
        <v>1.26</v>
      </c>
      <c r="P153" s="0" t="str">
        <f aca="false">TRIM(MID(C153,FIND(",",C153)+1,5))</f>
        <v>W</v>
      </c>
      <c r="Q153" s="0" t="n">
        <f aca="false">IF(P153="","",_xlfn.XLOOKUP(TRIM(P153),Metallic_Radius_Table!A:A,Metallic_Radius_Table!B:B))</f>
        <v>1.41</v>
      </c>
      <c r="R153" s="0" t="str">
        <f aca="false">IF(G153&gt;=1,   "Ferromagnetic / Ferrimagnetic",   IF(G153&gt;=0.05,      "Paramagnetic / Weakly magnetic",      "Antiferromagnetic / Diamagnetic"))</f>
        <v>Ferromagnetic / Ferrimagnetic</v>
      </c>
      <c r="U153" s="0" t="str">
        <f aca="false">IF(G153&gt;=1,
   "FM → PM (Curie-type)",
   IF(G153&lt;0.05,
      "AFM → PM (Néel-type)",
      "No long-range magnetic transition"))</f>
        <v>FM → PM (Curie-type)</v>
      </c>
    </row>
    <row r="154" customFormat="false" ht="13.8" hidden="false" customHeight="false" outlineLevel="0" collapsed="false">
      <c r="A154" s="0" t="s">
        <v>378</v>
      </c>
      <c r="B154" s="0" t="s">
        <v>379</v>
      </c>
      <c r="C154" s="0" t="s">
        <v>114</v>
      </c>
      <c r="D154" s="0" t="n">
        <v>-3.332170996</v>
      </c>
      <c r="E154" s="0" t="n">
        <v>0.186267606374993</v>
      </c>
      <c r="F154" s="0" t="n">
        <v>0</v>
      </c>
      <c r="G154" s="0" t="n">
        <v>0.029183999999999</v>
      </c>
      <c r="H154" s="0" t="s">
        <v>22</v>
      </c>
      <c r="I154" s="2" t="b">
        <f aca="false">TRUE()</f>
        <v>1</v>
      </c>
      <c r="J154" s="0" t="str">
        <f aca="false">IF(AND(CODE(MID(B154,2,1))&gt;=97,CODE(MID(B154,2,1))&lt;=122),LEFT(B154,2),LEFT(B154,1))</f>
        <v>Ca</v>
      </c>
      <c r="K154" s="0" t="n">
        <f aca="false">IF(J154="","",_xlfn.XLOOKUP(TRIM(J154),Metallic_Radius_Table!A:A,Metallic_Radius_Table!B:B))</f>
        <v>1.97</v>
      </c>
      <c r="L154" s="0" t="str">
        <f aca="false">IF(ISNUMBER(SEARCH("La",B154)),"La",
 IF(ISNUMBER(SEARCH("Nd",B154)),"Nd",
 IF(ISNUMBER(SEARCH("Eu",B154)),"Eu",
 IF(ISNUMBER(SEARCH("Gd",B154)),"Gd",""))))</f>
        <v/>
      </c>
      <c r="M154" s="0" t="str">
        <f aca="false">IF(L154="","",_xlfn.XLOOKUP(TRIM(L154),Metallic_Radius_Table!A:A,Metallic_Radius_Table!B:B))</f>
        <v/>
      </c>
      <c r="N154" s="0" t="str">
        <f aca="false">TRIM(LEFT(C154,FIND(",",C154)-1))</f>
        <v>Nb</v>
      </c>
      <c r="O154" s="3" t="n">
        <f aca="false">IF(N154="","",_xlfn.XLOOKUP(TRIM(N154),Metallic_Radius_Table!A:A,Metallic_Radius_Table!B:B))</f>
        <v>1.46</v>
      </c>
      <c r="P154" s="0" t="str">
        <f aca="false">TRIM(MID(C154,FIND(",",C154)+1,5))</f>
        <v>Hf</v>
      </c>
      <c r="Q154" s="0" t="n">
        <f aca="false">IF(P154="","",_xlfn.XLOOKUP(TRIM(P154),Metallic_Radius_Table!A:A,Metallic_Radius_Table!B:B))</f>
        <v>1.59</v>
      </c>
      <c r="R154" s="0" t="str">
        <f aca="false">IF(G154&gt;=1,   "Ferromagnetic / Ferrimagnetic",   IF(G154&gt;=0.05,      "Paramagnetic / Weakly magnetic",      "Antiferromagnetic / Diamagnetic"))</f>
        <v>Antiferromagnetic / Diamagnetic</v>
      </c>
      <c r="U154" s="0" t="str">
        <f aca="false">IF(G154&gt;=1,
   "FM → PM (Curie-type)",
   IF(G154&lt;0.05,
      "AFM → PM (Néel-type)",
      "No long-range magnetic transition"))</f>
        <v>AFM → PM (Néel-type)</v>
      </c>
    </row>
    <row r="155" customFormat="false" ht="13.8" hidden="false" customHeight="false" outlineLevel="0" collapsed="false">
      <c r="A155" s="0" t="s">
        <v>380</v>
      </c>
      <c r="B155" s="0" t="s">
        <v>381</v>
      </c>
      <c r="C155" s="0" t="s">
        <v>148</v>
      </c>
      <c r="D155" s="0" t="n">
        <v>-3.57240327933333</v>
      </c>
      <c r="E155" s="0" t="n">
        <v>0.116109330750001</v>
      </c>
      <c r="F155" s="0" t="n">
        <v>2.4866</v>
      </c>
      <c r="G155" s="0" t="n">
        <v>0</v>
      </c>
      <c r="H155" s="0" t="s">
        <v>22</v>
      </c>
      <c r="I155" s="2" t="b">
        <f aca="false">TRUE()</f>
        <v>1</v>
      </c>
      <c r="J155" s="0" t="str">
        <f aca="false">IF(AND(CODE(MID(B155,2,1))&gt;=97,CODE(MID(B155,2,1))&lt;=122),LEFT(B155,2),LEFT(B155,1))</f>
        <v>Ca</v>
      </c>
      <c r="K155" s="0" t="n">
        <f aca="false">IF(J155="","",_xlfn.XLOOKUP(TRIM(J155),Metallic_Radius_Table!A:A,Metallic_Radius_Table!B:B))</f>
        <v>1.97</v>
      </c>
      <c r="L155" s="0" t="str">
        <f aca="false">IF(ISNUMBER(SEARCH("La",B155)),"La",
 IF(ISNUMBER(SEARCH("Nd",B155)),"Nd",
 IF(ISNUMBER(SEARCH("Eu",B155)),"Eu",
 IF(ISNUMBER(SEARCH("Gd",B155)),"Gd",""))))</f>
        <v/>
      </c>
      <c r="M155" s="0" t="str">
        <f aca="false">IF(L155="","",_xlfn.XLOOKUP(TRIM(L155),Metallic_Radius_Table!A:A,Metallic_Radius_Table!B:B))</f>
        <v/>
      </c>
      <c r="N155" s="0" t="str">
        <f aca="false">TRIM(LEFT(C155,FIND(",",C155)-1))</f>
        <v>Hf</v>
      </c>
      <c r="O155" s="3" t="n">
        <f aca="false">IF(N155="","",_xlfn.XLOOKUP(TRIM(N155),Metallic_Radius_Table!A:A,Metallic_Radius_Table!B:B))</f>
        <v>1.59</v>
      </c>
      <c r="P155" s="0" t="str">
        <f aca="false">TRIM(MID(C155,FIND(",",C155)+1,5))</f>
        <v>Ti</v>
      </c>
      <c r="Q155" s="0" t="n">
        <f aca="false">IF(P155="","",_xlfn.XLOOKUP(TRIM(P155),Metallic_Radius_Table!A:A,Metallic_Radius_Table!B:B))</f>
        <v>1.47</v>
      </c>
      <c r="R155" s="0" t="str">
        <f aca="false">IF(G155&gt;=1,   "Ferromagnetic / Ferrimagnetic",   IF(G155&gt;=0.05,      "Paramagnetic / Weakly magnetic",      "Antiferromagnetic / Diamagnetic"))</f>
        <v>Antiferromagnetic / Diamagnetic</v>
      </c>
      <c r="U155" s="0" t="str">
        <f aca="false">IF(G155&gt;=1,
   "FM → PM (Curie-type)",
   IF(G155&lt;0.05,
      "AFM → PM (Néel-type)",
      "No long-range magnetic transition"))</f>
        <v>AFM → PM (Néel-type)</v>
      </c>
    </row>
    <row r="156" customFormat="false" ht="13.8" hidden="false" customHeight="false" outlineLevel="0" collapsed="false">
      <c r="A156" s="0" t="s">
        <v>382</v>
      </c>
      <c r="B156" s="0" t="s">
        <v>383</v>
      </c>
      <c r="C156" s="0" t="s">
        <v>120</v>
      </c>
      <c r="D156" s="0" t="n">
        <v>-3.57214105499999</v>
      </c>
      <c r="E156" s="0" t="n">
        <v>0.173415511250002</v>
      </c>
      <c r="F156" s="0" t="n">
        <v>3.4088</v>
      </c>
      <c r="G156" s="0" t="n">
        <v>0</v>
      </c>
      <c r="H156" s="0" t="s">
        <v>22</v>
      </c>
      <c r="I156" s="2" t="b">
        <f aca="false">TRUE()</f>
        <v>1</v>
      </c>
      <c r="J156" s="0" t="str">
        <f aca="false">IF(AND(CODE(MID(B156,2,1))&gt;=97,CODE(MID(B156,2,1))&lt;=122),LEFT(B156,2),LEFT(B156,1))</f>
        <v>Ca</v>
      </c>
      <c r="K156" s="0" t="n">
        <f aca="false">IF(J156="","",_xlfn.XLOOKUP(TRIM(J156),Metallic_Radius_Table!A:A,Metallic_Radius_Table!B:B))</f>
        <v>1.97</v>
      </c>
      <c r="L156" s="0" t="str">
        <f aca="false">IF(ISNUMBER(SEARCH("La",B156)),"La",
 IF(ISNUMBER(SEARCH("Nd",B156)),"Nd",
 IF(ISNUMBER(SEARCH("Eu",B156)),"Eu",
 IF(ISNUMBER(SEARCH("Gd",B156)),"Gd",""))))</f>
        <v/>
      </c>
      <c r="M156" s="0" t="str">
        <f aca="false">IF(L156="","",_xlfn.XLOOKUP(TRIM(L156),Metallic_Radius_Table!A:A,Metallic_Radius_Table!B:B))</f>
        <v/>
      </c>
      <c r="N156" s="0" t="str">
        <f aca="false">TRIM(LEFT(C156,FIND(",",C156)-1))</f>
        <v>Zr</v>
      </c>
      <c r="O156" s="3" t="n">
        <f aca="false">IF(N156="","",_xlfn.XLOOKUP(TRIM(N156),Metallic_Radius_Table!A:A,Metallic_Radius_Table!B:B))</f>
        <v>1.6</v>
      </c>
      <c r="P156" s="0" t="str">
        <f aca="false">TRIM(MID(C156,FIND(",",C156)+1,5))</f>
        <v>Hf</v>
      </c>
      <c r="Q156" s="0" t="n">
        <f aca="false">IF(P156="","",_xlfn.XLOOKUP(TRIM(P156),Metallic_Radius_Table!A:A,Metallic_Radius_Table!B:B))</f>
        <v>1.59</v>
      </c>
      <c r="R156" s="0" t="str">
        <f aca="false">IF(G156&gt;=1,   "Ferromagnetic / Ferrimagnetic",   IF(G156&gt;=0.05,      "Paramagnetic / Weakly magnetic",      "Antiferromagnetic / Diamagnetic"))</f>
        <v>Antiferromagnetic / Diamagnetic</v>
      </c>
      <c r="U156" s="0" t="str">
        <f aca="false">IF(G156&gt;=1,
   "FM → PM (Curie-type)",
   IF(G156&lt;0.05,
      "AFM → PM (Néel-type)",
      "No long-range magnetic transition"))</f>
        <v>AFM → PM (Néel-type)</v>
      </c>
    </row>
    <row r="157" customFormat="false" ht="13.8" hidden="false" customHeight="false" outlineLevel="0" collapsed="false">
      <c r="A157" s="0" t="s">
        <v>384</v>
      </c>
      <c r="B157" s="0" t="s">
        <v>385</v>
      </c>
      <c r="C157" s="0" t="s">
        <v>386</v>
      </c>
      <c r="D157" s="0" t="n">
        <v>-2.10618437699999</v>
      </c>
      <c r="E157" s="0" t="n">
        <v>0</v>
      </c>
      <c r="F157" s="0" t="n">
        <v>0</v>
      </c>
      <c r="G157" s="0" t="n">
        <v>2.0008454</v>
      </c>
      <c r="H157" s="0" t="s">
        <v>43</v>
      </c>
      <c r="I157" s="2" t="b">
        <f aca="false">TRUE()</f>
        <v>1</v>
      </c>
      <c r="J157" s="0" t="str">
        <f aca="false">IF(AND(CODE(MID(B157,2,1))&gt;=97,CODE(MID(B157,2,1))&lt;=122),LEFT(B157,2),LEFT(B157,1))</f>
        <v>Ca</v>
      </c>
      <c r="K157" s="0" t="n">
        <f aca="false">IF(J157="","",_xlfn.XLOOKUP(TRIM(J157),Metallic_Radius_Table!A:A,Metallic_Radius_Table!B:B))</f>
        <v>1.97</v>
      </c>
      <c r="L157" s="0" t="str">
        <f aca="false">IF(ISNUMBER(SEARCH("La",B157)),"La",
 IF(ISNUMBER(SEARCH("Nd",B157)),"Nd",
 IF(ISNUMBER(SEARCH("Eu",B157)),"Eu",
 IF(ISNUMBER(SEARCH("Gd",B157)),"Gd",""))))</f>
        <v/>
      </c>
      <c r="M157" s="0" t="str">
        <f aca="false">IF(L157="","",_xlfn.XLOOKUP(TRIM(L157),Metallic_Radius_Table!A:A,Metallic_Radius_Table!B:B))</f>
        <v/>
      </c>
      <c r="N157" s="0" t="str">
        <f aca="false">TRIM(LEFT(C157,FIND(",",C157)-1))</f>
        <v>Rh</v>
      </c>
      <c r="O157" s="3" t="n">
        <f aca="false">IF(N157="","",_xlfn.XLOOKUP(TRIM(N157),Metallic_Radius_Table!A:A,Metallic_Radius_Table!B:B))</f>
        <v>1.34</v>
      </c>
      <c r="P157" s="0" t="str">
        <f aca="false">TRIM(MID(C157,FIND(",",C157)+1,5))</f>
        <v>Ir</v>
      </c>
      <c r="Q157" s="0" t="n">
        <f aca="false">IF(P157="","",_xlfn.XLOOKUP(TRIM(P157),Metallic_Radius_Table!A:A,Metallic_Radius_Table!B:B))</f>
        <v>1.36</v>
      </c>
      <c r="R157" s="0" t="str">
        <f aca="false">IF(G157&gt;=1,   "Ferromagnetic / Ferrimagnetic",   IF(G157&gt;=0.05,      "Paramagnetic / Weakly magnetic",      "Antiferromagnetic / Diamagnetic"))</f>
        <v>Ferromagnetic / Ferrimagnetic</v>
      </c>
      <c r="U157" s="0" t="str">
        <f aca="false">IF(G157&gt;=1,
   "FM → PM (Curie-type)",
   IF(G157&lt;0.05,
      "AFM → PM (Néel-type)",
      "No long-range magnetic transition"))</f>
        <v>FM → PM (Curie-type)</v>
      </c>
    </row>
    <row r="158" customFormat="false" ht="13.8" hidden="false" customHeight="false" outlineLevel="0" collapsed="false">
      <c r="A158" s="0" t="s">
        <v>387</v>
      </c>
      <c r="B158" s="0" t="s">
        <v>388</v>
      </c>
      <c r="C158" s="0" t="s">
        <v>389</v>
      </c>
      <c r="D158" s="0" t="n">
        <v>-2.39178485199999</v>
      </c>
      <c r="E158" s="0" t="n">
        <v>0.155703282250001</v>
      </c>
      <c r="F158" s="0" t="n">
        <v>1.1277</v>
      </c>
      <c r="G158" s="0" t="n">
        <v>2.0000085</v>
      </c>
      <c r="H158" s="0" t="s">
        <v>352</v>
      </c>
      <c r="I158" s="2" t="b">
        <f aca="false">TRUE()</f>
        <v>1</v>
      </c>
      <c r="J158" s="0" t="str">
        <f aca="false">IF(AND(CODE(MID(B158,2,1))&gt;=97,CODE(MID(B158,2,1))&lt;=122),LEFT(B158,2),LEFT(B158,1))</f>
        <v>Ca</v>
      </c>
      <c r="K158" s="0" t="n">
        <f aca="false">IF(J158="","",_xlfn.XLOOKUP(TRIM(J158),Metallic_Radius_Table!A:A,Metallic_Radius_Table!B:B))</f>
        <v>1.97</v>
      </c>
      <c r="L158" s="0" t="str">
        <f aca="false">IF(ISNUMBER(SEARCH("La",B158)),"La",
 IF(ISNUMBER(SEARCH("Nd",B158)),"Nd",
 IF(ISNUMBER(SEARCH("Eu",B158)),"Eu",
 IF(ISNUMBER(SEARCH("Gd",B158)),"Gd",""))))</f>
        <v/>
      </c>
      <c r="M158" s="0" t="str">
        <f aca="false">IF(L158="","",_xlfn.XLOOKUP(TRIM(L158),Metallic_Radius_Table!A:A,Metallic_Radius_Table!B:B))</f>
        <v/>
      </c>
      <c r="N158" s="0" t="str">
        <f aca="false">TRIM(LEFT(C158,FIND(",",C158)-1))</f>
        <v>Ir</v>
      </c>
      <c r="O158" s="3" t="n">
        <f aca="false">IF(N158="","",_xlfn.XLOOKUP(TRIM(N158),Metallic_Radius_Table!A:A,Metallic_Radius_Table!B:B))</f>
        <v>1.36</v>
      </c>
      <c r="P158" s="0" t="str">
        <f aca="false">TRIM(MID(C158,FIND(",",C158)+1,5))</f>
        <v>W</v>
      </c>
      <c r="Q158" s="0" t="n">
        <f aca="false">IF(P158="","",_xlfn.XLOOKUP(TRIM(P158),Metallic_Radius_Table!A:A,Metallic_Radius_Table!B:B))</f>
        <v>1.41</v>
      </c>
      <c r="R158" s="0" t="str">
        <f aca="false">IF(G158&gt;=1,   "Ferromagnetic / Ferrimagnetic",   IF(G158&gt;=0.05,      "Paramagnetic / Weakly magnetic",      "Antiferromagnetic / Diamagnetic"))</f>
        <v>Ferromagnetic / Ferrimagnetic</v>
      </c>
      <c r="U158" s="0" t="str">
        <f aca="false">IF(G158&gt;=1,
   "FM → PM (Curie-type)",
   IF(G158&lt;0.05,
      "AFM → PM (Néel-type)",
      "No long-range magnetic transition"))</f>
        <v>FM → PM (Curie-type)</v>
      </c>
    </row>
    <row r="159" customFormat="false" ht="13.8" hidden="false" customHeight="false" outlineLevel="0" collapsed="false">
      <c r="A159" s="0" t="s">
        <v>390</v>
      </c>
      <c r="B159" s="0" t="s">
        <v>391</v>
      </c>
      <c r="C159" s="0" t="s">
        <v>318</v>
      </c>
      <c r="D159" s="0" t="n">
        <v>-2.2980209892931</v>
      </c>
      <c r="E159" s="0" t="n">
        <v>0.020710273166668</v>
      </c>
      <c r="F159" s="0" t="n">
        <v>0</v>
      </c>
      <c r="G159" s="0" t="n">
        <v>8.3378266</v>
      </c>
      <c r="H159" s="0" t="s">
        <v>352</v>
      </c>
      <c r="I159" s="2" t="b">
        <f aca="false">TRUE()</f>
        <v>1</v>
      </c>
      <c r="J159" s="0" t="str">
        <f aca="false">IF(AND(CODE(MID(B159,2,1))&gt;=97,CODE(MID(B159,2,1))&lt;=122),LEFT(B159,2),LEFT(B159,1))</f>
        <v>Ca</v>
      </c>
      <c r="K159" s="0" t="n">
        <f aca="false">IF(J159="","",_xlfn.XLOOKUP(TRIM(J159),Metallic_Radius_Table!A:A,Metallic_Radius_Table!B:B))</f>
        <v>1.97</v>
      </c>
      <c r="L159" s="0" t="str">
        <f aca="false">IF(ISNUMBER(SEARCH("La",B159)),"La",
 IF(ISNUMBER(SEARCH("Nd",B159)),"Nd",
 IF(ISNUMBER(SEARCH("Eu",B159)),"Eu",
 IF(ISNUMBER(SEARCH("Gd",B159)),"Gd",""))))</f>
        <v/>
      </c>
      <c r="M159" s="0" t="str">
        <f aca="false">IF(L159="","",_xlfn.XLOOKUP(TRIM(L159),Metallic_Radius_Table!A:A,Metallic_Radius_Table!B:B))</f>
        <v/>
      </c>
      <c r="N159" s="0" t="str">
        <f aca="false">TRIM(LEFT(C159,FIND(",",C159)-1))</f>
        <v>Mn</v>
      </c>
      <c r="O159" s="3" t="n">
        <f aca="false">IF(N159="","",_xlfn.XLOOKUP(TRIM(N159),Metallic_Radius_Table!A:A,Metallic_Radius_Table!B:B))</f>
        <v>1.27</v>
      </c>
      <c r="P159" s="0" t="str">
        <f aca="false">TRIM(MID(C159,FIND(",",C159)+1,5))</f>
        <v>Ir</v>
      </c>
      <c r="Q159" s="0" t="n">
        <f aca="false">IF(P159="","",_xlfn.XLOOKUP(TRIM(P159),Metallic_Radius_Table!A:A,Metallic_Radius_Table!B:B))</f>
        <v>1.36</v>
      </c>
      <c r="R159" s="0" t="str">
        <f aca="false">IF(G159&gt;=1,   "Ferromagnetic / Ferrimagnetic",   IF(G159&gt;=0.05,      "Paramagnetic / Weakly magnetic",      "Antiferromagnetic / Diamagnetic"))</f>
        <v>Ferromagnetic / Ferrimagnetic</v>
      </c>
      <c r="U159" s="0" t="str">
        <f aca="false">IF(G159&gt;=1,
   "FM → PM (Curie-type)",
   IF(G159&lt;0.05,
      "AFM → PM (Néel-type)",
      "No long-range magnetic transition"))</f>
        <v>FM → PM (Curie-type)</v>
      </c>
    </row>
    <row r="160" customFormat="false" ht="13.8" hidden="false" customHeight="false" outlineLevel="0" collapsed="false">
      <c r="A160" s="0" t="s">
        <v>392</v>
      </c>
      <c r="B160" s="0" t="s">
        <v>393</v>
      </c>
      <c r="C160" s="0" t="s">
        <v>64</v>
      </c>
      <c r="D160" s="0" t="n">
        <v>-3.0011409197931</v>
      </c>
      <c r="E160" s="0" t="n">
        <v>0.013132983374999</v>
      </c>
      <c r="F160" s="0" t="n">
        <v>0</v>
      </c>
      <c r="G160" s="4" t="n">
        <v>5.29999999999999E-006</v>
      </c>
      <c r="H160" s="0" t="s">
        <v>352</v>
      </c>
      <c r="I160" s="2" t="b">
        <f aca="false">TRUE()</f>
        <v>1</v>
      </c>
      <c r="J160" s="0" t="str">
        <f aca="false">IF(AND(CODE(MID(B160,2,1))&gt;=97,CODE(MID(B160,2,1))&lt;=122),LEFT(B160,2),LEFT(B160,1))</f>
        <v>Ca</v>
      </c>
      <c r="K160" s="0" t="n">
        <f aca="false">IF(J160="","",_xlfn.XLOOKUP(TRIM(J160),Metallic_Radius_Table!A:A,Metallic_Radius_Table!B:B))</f>
        <v>1.97</v>
      </c>
      <c r="L160" s="0" t="str">
        <f aca="false">IF(ISNUMBER(SEARCH("La",B160)),"La",
 IF(ISNUMBER(SEARCH("Nd",B160)),"Nd",
 IF(ISNUMBER(SEARCH("Eu",B160)),"Eu",
 IF(ISNUMBER(SEARCH("Gd",B160)),"Gd",""))))</f>
        <v/>
      </c>
      <c r="M160" s="0" t="str">
        <f aca="false">IF(L160="","",_xlfn.XLOOKUP(TRIM(L160),Metallic_Radius_Table!A:A,Metallic_Radius_Table!B:B))</f>
        <v/>
      </c>
      <c r="N160" s="0" t="str">
        <f aca="false">TRIM(LEFT(C160,FIND(",",C160)-1))</f>
        <v>Nb</v>
      </c>
      <c r="O160" s="3" t="n">
        <f aca="false">IF(N160="","",_xlfn.XLOOKUP(TRIM(N160),Metallic_Radius_Table!A:A,Metallic_Radius_Table!B:B))</f>
        <v>1.46</v>
      </c>
      <c r="P160" s="0" t="str">
        <f aca="false">TRIM(MID(C160,FIND(",",C160)+1,5))</f>
        <v>Mn</v>
      </c>
      <c r="Q160" s="0" t="n">
        <f aca="false">IF(P160="","",_xlfn.XLOOKUP(TRIM(P160),Metallic_Radius_Table!A:A,Metallic_Radius_Table!B:B))</f>
        <v>1.27</v>
      </c>
      <c r="R160" s="0" t="str">
        <f aca="false">IF(G160&gt;=1,   "Ferromagnetic / Ferrimagnetic",   IF(G160&gt;=0.05,      "Paramagnetic / Weakly magnetic",      "Antiferromagnetic / Diamagnetic"))</f>
        <v>Antiferromagnetic / Diamagnetic</v>
      </c>
      <c r="U160" s="0" t="str">
        <f aca="false">IF(G160&gt;=1,
   "FM → PM (Curie-type)",
   IF(G160&lt;0.05,
      "AFM → PM (Néel-type)",
      "No long-range magnetic transition"))</f>
        <v>AFM → PM (Néel-type)</v>
      </c>
    </row>
    <row r="161" customFormat="false" ht="13.8" hidden="false" customHeight="false" outlineLevel="0" collapsed="false">
      <c r="A161" s="0" t="s">
        <v>394</v>
      </c>
      <c r="B161" s="0" t="s">
        <v>395</v>
      </c>
      <c r="C161" s="0" t="s">
        <v>396</v>
      </c>
      <c r="D161" s="0" t="n">
        <v>-1.9918063322931</v>
      </c>
      <c r="E161" s="0" t="n">
        <v>0.188666540791666</v>
      </c>
      <c r="F161" s="0" t="n">
        <v>0</v>
      </c>
      <c r="G161" s="0" t="n">
        <v>9.9965697</v>
      </c>
      <c r="H161" s="0" t="s">
        <v>45</v>
      </c>
      <c r="I161" s="2" t="b">
        <f aca="false">TRUE()</f>
        <v>1</v>
      </c>
      <c r="J161" s="0" t="str">
        <f aca="false">IF(AND(CODE(MID(B161,2,1))&gt;=97,CODE(MID(B161,2,1))&lt;=122),LEFT(B161,2),LEFT(B161,1))</f>
        <v>Ca</v>
      </c>
      <c r="K161" s="0" t="n">
        <f aca="false">IF(J161="","",_xlfn.XLOOKUP(TRIM(J161),Metallic_Radius_Table!A:A,Metallic_Radius_Table!B:B))</f>
        <v>1.97</v>
      </c>
      <c r="L161" s="0" t="str">
        <f aca="false">IF(ISNUMBER(SEARCH("La",B161)),"La",
 IF(ISNUMBER(SEARCH("Nd",B161)),"Nd",
 IF(ISNUMBER(SEARCH("Eu",B161)),"Eu",
 IF(ISNUMBER(SEARCH("Gd",B161)),"Gd",""))))</f>
        <v/>
      </c>
      <c r="M161" s="0" t="str">
        <f aca="false">IF(L161="","",_xlfn.XLOOKUP(TRIM(L161),Metallic_Radius_Table!A:A,Metallic_Radius_Table!B:B))</f>
        <v/>
      </c>
      <c r="N161" s="0" t="str">
        <f aca="false">TRIM(LEFT(C161,FIND(",",C161)-1))</f>
        <v>Mn</v>
      </c>
      <c r="O161" s="3" t="n">
        <f aca="false">IF(N161="","",_xlfn.XLOOKUP(TRIM(N161),Metallic_Radius_Table!A:A,Metallic_Radius_Table!B:B))</f>
        <v>1.27</v>
      </c>
      <c r="P161" s="0" t="str">
        <f aca="false">TRIM(MID(C161,FIND(",",C161)+1,5))</f>
        <v>Ni</v>
      </c>
      <c r="Q161" s="0" t="n">
        <f aca="false">IF(P161="","",_xlfn.XLOOKUP(TRIM(P161),Metallic_Radius_Table!A:A,Metallic_Radius_Table!B:B))</f>
        <v>1.24</v>
      </c>
      <c r="R161" s="0" t="str">
        <f aca="false">IF(G161&gt;=1,   "Ferromagnetic / Ferrimagnetic",   IF(G161&gt;=0.05,      "Paramagnetic / Weakly magnetic",      "Antiferromagnetic / Diamagnetic"))</f>
        <v>Ferromagnetic / Ferrimagnetic</v>
      </c>
      <c r="U161" s="0" t="str">
        <f aca="false">IF(G161&gt;=1,
   "FM → PM (Curie-type)",
   IF(G161&lt;0.05,
      "AFM → PM (Néel-type)",
      "No long-range magnetic transition"))</f>
        <v>FM → PM (Curie-type)</v>
      </c>
    </row>
    <row r="162" customFormat="false" ht="13.8" hidden="false" customHeight="false" outlineLevel="0" collapsed="false">
      <c r="A162" s="0" t="s">
        <v>397</v>
      </c>
      <c r="B162" s="0" t="s">
        <v>398</v>
      </c>
      <c r="C162" s="0" t="s">
        <v>73</v>
      </c>
      <c r="D162" s="0" t="n">
        <v>-2.6559970390431</v>
      </c>
      <c r="E162" s="0" t="n">
        <v>0.000765378702379</v>
      </c>
      <c r="F162" s="0" t="n">
        <v>0.1472</v>
      </c>
      <c r="G162" s="0" t="n">
        <v>15.2418359</v>
      </c>
      <c r="H162" s="0" t="s">
        <v>352</v>
      </c>
      <c r="I162" s="2" t="b">
        <f aca="false">TRUE()</f>
        <v>1</v>
      </c>
      <c r="J162" s="0" t="str">
        <f aca="false">IF(AND(CODE(MID(B162,2,1))&gt;=97,CODE(MID(B162,2,1))&lt;=122),LEFT(B162,2),LEFT(B162,1))</f>
        <v>Ca</v>
      </c>
      <c r="K162" s="0" t="n">
        <f aca="false">IF(J162="","",_xlfn.XLOOKUP(TRIM(J162),Metallic_Radius_Table!A:A,Metallic_Radius_Table!B:B))</f>
        <v>1.97</v>
      </c>
      <c r="L162" s="0" t="str">
        <f aca="false">IF(ISNUMBER(SEARCH("La",B162)),"La",
 IF(ISNUMBER(SEARCH("Nd",B162)),"Nd",
 IF(ISNUMBER(SEARCH("Eu",B162)),"Eu",
 IF(ISNUMBER(SEARCH("Gd",B162)),"Gd",""))))</f>
        <v/>
      </c>
      <c r="M162" s="0" t="str">
        <f aca="false">IF(L162="","",_xlfn.XLOOKUP(TRIM(L162),Metallic_Radius_Table!A:A,Metallic_Radius_Table!B:B))</f>
        <v/>
      </c>
      <c r="N162" s="0" t="str">
        <f aca="false">TRIM(LEFT(C162,FIND(",",C162)-1))</f>
        <v>Re</v>
      </c>
      <c r="O162" s="3" t="n">
        <f aca="false">IF(N162="","",_xlfn.XLOOKUP(TRIM(N162),Metallic_Radius_Table!A:A,Metallic_Radius_Table!B:B))</f>
        <v>1.37</v>
      </c>
      <c r="P162" s="0" t="str">
        <f aca="false">TRIM(MID(C162,FIND(",",C162)+1,5))</f>
        <v>Mn</v>
      </c>
      <c r="Q162" s="0" t="n">
        <f aca="false">IF(P162="","",_xlfn.XLOOKUP(TRIM(P162),Metallic_Radius_Table!A:A,Metallic_Radius_Table!B:B))</f>
        <v>1.27</v>
      </c>
      <c r="R162" s="0" t="str">
        <f aca="false">IF(G162&gt;=1,   "Ferromagnetic / Ferrimagnetic",   IF(G162&gt;=0.05,      "Paramagnetic / Weakly magnetic",      "Antiferromagnetic / Diamagnetic"))</f>
        <v>Ferromagnetic / Ferrimagnetic</v>
      </c>
      <c r="U162" s="0" t="str">
        <f aca="false">IF(G162&gt;=1,
   "FM → PM (Curie-type)",
   IF(G162&lt;0.05,
      "AFM → PM (Néel-type)",
      "No long-range magnetic transition"))</f>
        <v>FM → PM (Curie-type)</v>
      </c>
    </row>
    <row r="163" customFormat="false" ht="13.8" hidden="false" customHeight="false" outlineLevel="0" collapsed="false">
      <c r="A163" s="0" t="s">
        <v>399</v>
      </c>
      <c r="B163" s="0" t="s">
        <v>400</v>
      </c>
      <c r="C163" s="0" t="s">
        <v>76</v>
      </c>
      <c r="D163" s="0" t="n">
        <v>-2.3941978387931</v>
      </c>
      <c r="E163" s="0" t="n">
        <v>0</v>
      </c>
      <c r="F163" s="0" t="n">
        <v>0</v>
      </c>
      <c r="G163" s="0" t="n">
        <v>2.1036916</v>
      </c>
      <c r="H163" s="0" t="s">
        <v>352</v>
      </c>
      <c r="I163" s="2" t="b">
        <f aca="false">TRUE()</f>
        <v>1</v>
      </c>
      <c r="J163" s="0" t="str">
        <f aca="false">IF(AND(CODE(MID(B163,2,1))&gt;=97,CODE(MID(B163,2,1))&lt;=122),LEFT(B163,2),LEFT(B163,1))</f>
        <v>Ca</v>
      </c>
      <c r="K163" s="0" t="n">
        <f aca="false">IF(J163="","",_xlfn.XLOOKUP(TRIM(J163),Metallic_Radius_Table!A:A,Metallic_Radius_Table!B:B))</f>
        <v>1.97</v>
      </c>
      <c r="L163" s="0" t="str">
        <f aca="false">IF(ISNUMBER(SEARCH("La",B163)),"La",
 IF(ISNUMBER(SEARCH("Nd",B163)),"Nd",
 IF(ISNUMBER(SEARCH("Eu",B163)),"Eu",
 IF(ISNUMBER(SEARCH("Gd",B163)),"Gd",""))))</f>
        <v/>
      </c>
      <c r="M163" s="0" t="str">
        <f aca="false">IF(L163="","",_xlfn.XLOOKUP(TRIM(L163),Metallic_Radius_Table!A:A,Metallic_Radius_Table!B:B))</f>
        <v/>
      </c>
      <c r="N163" s="0" t="str">
        <f aca="false">TRIM(LEFT(C163,FIND(",",C163)-1))</f>
        <v>Mn</v>
      </c>
      <c r="O163" s="3" t="n">
        <f aca="false">IF(N163="","",_xlfn.XLOOKUP(TRIM(N163),Metallic_Radius_Table!A:A,Metallic_Radius_Table!B:B))</f>
        <v>1.27</v>
      </c>
      <c r="P163" s="0" t="str">
        <f aca="false">TRIM(MID(C163,FIND(",",C163)+1,5))</f>
        <v>Ru</v>
      </c>
      <c r="Q163" s="0" t="n">
        <f aca="false">IF(P163="","",_xlfn.XLOOKUP(TRIM(P163),Metallic_Radius_Table!A:A,Metallic_Radius_Table!B:B))</f>
        <v>1.34</v>
      </c>
      <c r="R163" s="0" t="str">
        <f aca="false">IF(G163&gt;=1,   "Ferromagnetic / Ferrimagnetic",   IF(G163&gt;=0.05,      "Paramagnetic / Weakly magnetic",      "Antiferromagnetic / Diamagnetic"))</f>
        <v>Ferromagnetic / Ferrimagnetic</v>
      </c>
      <c r="U163" s="0" t="str">
        <f aca="false">IF(G163&gt;=1,
   "FM → PM (Curie-type)",
   IF(G163&lt;0.05,
      "AFM → PM (Néel-type)",
      "No long-range magnetic transition"))</f>
        <v>FM → PM (Curie-type)</v>
      </c>
    </row>
    <row r="164" customFormat="false" ht="13.8" hidden="false" customHeight="false" outlineLevel="0" collapsed="false">
      <c r="A164" s="0" t="s">
        <v>401</v>
      </c>
      <c r="B164" s="0" t="s">
        <v>402</v>
      </c>
      <c r="C164" s="0" t="s">
        <v>79</v>
      </c>
      <c r="D164" s="0" t="n">
        <v>-2.7569592952931</v>
      </c>
      <c r="E164" s="0" t="n">
        <v>0.020584987000058</v>
      </c>
      <c r="F164" s="0" t="n">
        <v>2.6496</v>
      </c>
      <c r="G164" s="4" t="n">
        <v>1E-006</v>
      </c>
      <c r="H164" s="0" t="s">
        <v>58</v>
      </c>
      <c r="I164" s="2" t="b">
        <f aca="false">TRUE()</f>
        <v>1</v>
      </c>
      <c r="J164" s="0" t="str">
        <f aca="false">IF(AND(CODE(MID(B164,2,1))&gt;=97,CODE(MID(B164,2,1))&lt;=122),LEFT(B164,2),LEFT(B164,1))</f>
        <v>Ca</v>
      </c>
      <c r="K164" s="0" t="n">
        <f aca="false">IF(J164="","",_xlfn.XLOOKUP(TRIM(J164),Metallic_Radius_Table!A:A,Metallic_Radius_Table!B:B))</f>
        <v>1.97</v>
      </c>
      <c r="L164" s="0" t="str">
        <f aca="false">IF(ISNUMBER(SEARCH("La",B164)),"La",
 IF(ISNUMBER(SEARCH("Nd",B164)),"Nd",
 IF(ISNUMBER(SEARCH("Eu",B164)),"Eu",
 IF(ISNUMBER(SEARCH("Gd",B164)),"Gd",""))))</f>
        <v/>
      </c>
      <c r="M164" s="0" t="str">
        <f aca="false">IF(L164="","",_xlfn.XLOOKUP(TRIM(L164),Metallic_Radius_Table!A:A,Metallic_Radius_Table!B:B))</f>
        <v/>
      </c>
      <c r="N164" s="0" t="str">
        <f aca="false">TRIM(LEFT(C164,FIND(",",C164)-1))</f>
        <v>Mn</v>
      </c>
      <c r="O164" s="3" t="n">
        <f aca="false">IF(N164="","",_xlfn.XLOOKUP(TRIM(N164),Metallic_Radius_Table!A:A,Metallic_Radius_Table!B:B))</f>
        <v>1.27</v>
      </c>
      <c r="P164" s="0" t="str">
        <f aca="false">TRIM(MID(C164,FIND(",",C164)+1,5))</f>
        <v>W</v>
      </c>
      <c r="Q164" s="0" t="n">
        <f aca="false">IF(P164="","",_xlfn.XLOOKUP(TRIM(P164),Metallic_Radius_Table!A:A,Metallic_Radius_Table!B:B))</f>
        <v>1.41</v>
      </c>
      <c r="R164" s="0" t="str">
        <f aca="false">IF(G164&gt;=1,   "Ferromagnetic / Ferrimagnetic",   IF(G164&gt;=0.05,      "Paramagnetic / Weakly magnetic",      "Antiferromagnetic / Diamagnetic"))</f>
        <v>Antiferromagnetic / Diamagnetic</v>
      </c>
      <c r="U164" s="0" t="str">
        <f aca="false">IF(G164&gt;=1,
   "FM → PM (Curie-type)",
   IF(G164&lt;0.05,
      "AFM → PM (Néel-type)",
      "No long-range magnetic transition"))</f>
        <v>AFM → PM (Néel-type)</v>
      </c>
    </row>
    <row r="165" customFormat="false" ht="13.8" hidden="false" customHeight="false" outlineLevel="0" collapsed="false">
      <c r="A165" s="0" t="s">
        <v>403</v>
      </c>
      <c r="B165" s="0" t="s">
        <v>402</v>
      </c>
      <c r="C165" s="0" t="s">
        <v>79</v>
      </c>
      <c r="D165" s="0" t="n">
        <v>-2.7553590757931</v>
      </c>
      <c r="E165" s="0" t="n">
        <v>0.022185206500058</v>
      </c>
      <c r="F165" s="0" t="n">
        <v>2.5151</v>
      </c>
      <c r="G165" s="0" t="n">
        <v>5.0002154</v>
      </c>
      <c r="H165" s="0" t="s">
        <v>58</v>
      </c>
      <c r="I165" s="2" t="b">
        <f aca="false">TRUE()</f>
        <v>1</v>
      </c>
      <c r="J165" s="0" t="str">
        <f aca="false">IF(AND(CODE(MID(B165,2,1))&gt;=97,CODE(MID(B165,2,1))&lt;=122),LEFT(B165,2),LEFT(B165,1))</f>
        <v>Ca</v>
      </c>
      <c r="K165" s="0" t="n">
        <f aca="false">IF(J165="","",_xlfn.XLOOKUP(TRIM(J165),Metallic_Radius_Table!A:A,Metallic_Radius_Table!B:B))</f>
        <v>1.97</v>
      </c>
      <c r="L165" s="0" t="str">
        <f aca="false">IF(ISNUMBER(SEARCH("La",B165)),"La",
 IF(ISNUMBER(SEARCH("Nd",B165)),"Nd",
 IF(ISNUMBER(SEARCH("Eu",B165)),"Eu",
 IF(ISNUMBER(SEARCH("Gd",B165)),"Gd",""))))</f>
        <v/>
      </c>
      <c r="M165" s="0" t="str">
        <f aca="false">IF(L165="","",_xlfn.XLOOKUP(TRIM(L165),Metallic_Radius_Table!A:A,Metallic_Radius_Table!B:B))</f>
        <v/>
      </c>
      <c r="N165" s="0" t="str">
        <f aca="false">TRIM(LEFT(C165,FIND(",",C165)-1))</f>
        <v>Mn</v>
      </c>
      <c r="O165" s="3" t="n">
        <f aca="false">IF(N165="","",_xlfn.XLOOKUP(TRIM(N165),Metallic_Radius_Table!A:A,Metallic_Radius_Table!B:B))</f>
        <v>1.27</v>
      </c>
      <c r="P165" s="0" t="str">
        <f aca="false">TRIM(MID(C165,FIND(",",C165)+1,5))</f>
        <v>W</v>
      </c>
      <c r="Q165" s="0" t="n">
        <f aca="false">IF(P165="","",_xlfn.XLOOKUP(TRIM(P165),Metallic_Radius_Table!A:A,Metallic_Radius_Table!B:B))</f>
        <v>1.41</v>
      </c>
      <c r="R165" s="0" t="str">
        <f aca="false">IF(G165&gt;=1,   "Ferromagnetic / Ferrimagnetic",   IF(G165&gt;=0.05,      "Paramagnetic / Weakly magnetic",      "Antiferromagnetic / Diamagnetic"))</f>
        <v>Ferromagnetic / Ferrimagnetic</v>
      </c>
      <c r="U165" s="0" t="str">
        <f aca="false">IF(G165&gt;=1,
   "FM → PM (Curie-type)",
   IF(G165&lt;0.05,
      "AFM → PM (Néel-type)",
      "No long-range magnetic transition"))</f>
        <v>FM → PM (Curie-type)</v>
      </c>
    </row>
    <row r="166" customFormat="false" ht="13.8" hidden="false" customHeight="false" outlineLevel="0" collapsed="false">
      <c r="A166" s="0" t="s">
        <v>404</v>
      </c>
      <c r="B166" s="0" t="s">
        <v>402</v>
      </c>
      <c r="C166" s="0" t="s">
        <v>79</v>
      </c>
      <c r="D166" s="0" t="n">
        <v>-2.7775442822931</v>
      </c>
      <c r="E166" s="0" t="n">
        <v>0</v>
      </c>
      <c r="F166" s="0" t="n">
        <v>2.1817</v>
      </c>
      <c r="G166" s="0" t="n">
        <v>0</v>
      </c>
      <c r="H166" s="0" t="s">
        <v>352</v>
      </c>
      <c r="I166" s="2" t="b">
        <f aca="false">TRUE()</f>
        <v>1</v>
      </c>
      <c r="J166" s="0" t="str">
        <f aca="false">IF(AND(CODE(MID(B166,2,1))&gt;=97,CODE(MID(B166,2,1))&lt;=122),LEFT(B166,2),LEFT(B166,1))</f>
        <v>Ca</v>
      </c>
      <c r="K166" s="0" t="n">
        <f aca="false">IF(J166="","",_xlfn.XLOOKUP(TRIM(J166),Metallic_Radius_Table!A:A,Metallic_Radius_Table!B:B))</f>
        <v>1.97</v>
      </c>
      <c r="L166" s="0" t="str">
        <f aca="false">IF(ISNUMBER(SEARCH("La",B166)),"La",
 IF(ISNUMBER(SEARCH("Nd",B166)),"Nd",
 IF(ISNUMBER(SEARCH("Eu",B166)),"Eu",
 IF(ISNUMBER(SEARCH("Gd",B166)),"Gd",""))))</f>
        <v/>
      </c>
      <c r="M166" s="0" t="str">
        <f aca="false">IF(L166="","",_xlfn.XLOOKUP(TRIM(L166),Metallic_Radius_Table!A:A,Metallic_Radius_Table!B:B))</f>
        <v/>
      </c>
      <c r="N166" s="0" t="str">
        <f aca="false">TRIM(LEFT(C166,FIND(",",C166)-1))</f>
        <v>Mn</v>
      </c>
      <c r="O166" s="3" t="n">
        <f aca="false">IF(N166="","",_xlfn.XLOOKUP(TRIM(N166),Metallic_Radius_Table!A:A,Metallic_Radius_Table!B:B))</f>
        <v>1.27</v>
      </c>
      <c r="P166" s="0" t="str">
        <f aca="false">TRIM(MID(C166,FIND(",",C166)+1,5))</f>
        <v>W</v>
      </c>
      <c r="Q166" s="0" t="n">
        <f aca="false">IF(P166="","",_xlfn.XLOOKUP(TRIM(P166),Metallic_Radius_Table!A:A,Metallic_Radius_Table!B:B))</f>
        <v>1.41</v>
      </c>
      <c r="R166" s="0" t="str">
        <f aca="false">IF(G166&gt;=1,   "Ferromagnetic / Ferrimagnetic",   IF(G166&gt;=0.05,      "Paramagnetic / Weakly magnetic",      "Antiferromagnetic / Diamagnetic"))</f>
        <v>Antiferromagnetic / Diamagnetic</v>
      </c>
      <c r="U166" s="0" t="str">
        <f aca="false">IF(G166&gt;=1,
   "FM → PM (Curie-type)",
   IF(G166&lt;0.05,
      "AFM → PM (Néel-type)",
      "No long-range magnetic transition"))</f>
        <v>AFM → PM (Néel-type)</v>
      </c>
    </row>
    <row r="167" customFormat="false" ht="13.8" hidden="false" customHeight="false" outlineLevel="0" collapsed="false">
      <c r="A167" s="0" t="s">
        <v>405</v>
      </c>
      <c r="B167" s="0" t="s">
        <v>406</v>
      </c>
      <c r="C167" s="0" t="s">
        <v>407</v>
      </c>
      <c r="D167" s="0" t="n">
        <v>-2.63737325399999</v>
      </c>
      <c r="E167" s="0" t="n">
        <v>0.024651902499998</v>
      </c>
      <c r="F167" s="0" t="n">
        <v>1.9254</v>
      </c>
      <c r="G167" s="0" t="n">
        <v>4.0000026</v>
      </c>
      <c r="H167" s="0" t="s">
        <v>54</v>
      </c>
      <c r="I167" s="2" t="b">
        <f aca="false">TRUE()</f>
        <v>1</v>
      </c>
      <c r="J167" s="0" t="str">
        <f aca="false">IF(AND(CODE(MID(B167,2,1))&gt;=97,CODE(MID(B167,2,1))&lt;=122),LEFT(B167,2),LEFT(B167,1))</f>
        <v>Ca</v>
      </c>
      <c r="K167" s="0" t="n">
        <f aca="false">IF(J167="","",_xlfn.XLOOKUP(TRIM(J167),Metallic_Radius_Table!A:A,Metallic_Radius_Table!B:B))</f>
        <v>1.97</v>
      </c>
      <c r="L167" s="0" t="str">
        <f aca="false">IF(ISNUMBER(SEARCH("La",B167)),"La",
 IF(ISNUMBER(SEARCH("Nd",B167)),"Nd",
 IF(ISNUMBER(SEARCH("Eu",B167)),"Eu",
 IF(ISNUMBER(SEARCH("Gd",B167)),"Gd",""))))</f>
        <v/>
      </c>
      <c r="M167" s="0" t="str">
        <f aca="false">IF(L167="","",_xlfn.XLOOKUP(TRIM(L167),Metallic_Radius_Table!A:A,Metallic_Radius_Table!B:B))</f>
        <v/>
      </c>
      <c r="N167" s="0" t="str">
        <f aca="false">TRIM(LEFT(C167,FIND(",",C167)-1))</f>
        <v>W</v>
      </c>
      <c r="O167" s="3" t="n">
        <f aca="false">IF(N167="","",_xlfn.XLOOKUP(TRIM(N167),Metallic_Radius_Table!A:A,Metallic_Radius_Table!B:B))</f>
        <v>1.41</v>
      </c>
      <c r="P167" s="0" t="str">
        <f aca="false">TRIM(MID(C167,FIND(",",C167)+1,5))</f>
        <v>Mo</v>
      </c>
      <c r="Q167" s="0" t="n">
        <f aca="false">IF(P167="","",_xlfn.XLOOKUP(TRIM(P167),Metallic_Radius_Table!A:A,Metallic_Radius_Table!B:B))</f>
        <v>1.39</v>
      </c>
      <c r="R167" s="0" t="str">
        <f aca="false">IF(G167&gt;=1,   "Ferromagnetic / Ferrimagnetic",   IF(G167&gt;=0.05,      "Paramagnetic / Weakly magnetic",      "Antiferromagnetic / Diamagnetic"))</f>
        <v>Ferromagnetic / Ferrimagnetic</v>
      </c>
      <c r="U167" s="0" t="str">
        <f aca="false">IF(G167&gt;=1,
   "FM → PM (Curie-type)",
   IF(G167&lt;0.05,
      "AFM → PM (Néel-type)",
      "No long-range magnetic transition"))</f>
        <v>FM → PM (Curie-type)</v>
      </c>
    </row>
    <row r="168" customFormat="false" ht="13.8" hidden="false" customHeight="false" outlineLevel="0" collapsed="false">
      <c r="A168" s="0" t="s">
        <v>408</v>
      </c>
      <c r="B168" s="0" t="s">
        <v>406</v>
      </c>
      <c r="C168" s="0" t="s">
        <v>407</v>
      </c>
      <c r="D168" s="0" t="n">
        <v>-2.661461421</v>
      </c>
      <c r="E168" s="0" t="n">
        <v>0.000563735499998</v>
      </c>
      <c r="F168" s="0" t="n">
        <v>1.55059999999999</v>
      </c>
      <c r="G168" s="0" t="n">
        <v>7.9999718</v>
      </c>
      <c r="H168" s="0" t="s">
        <v>352</v>
      </c>
      <c r="I168" s="2" t="b">
        <f aca="false">TRUE()</f>
        <v>1</v>
      </c>
      <c r="J168" s="0" t="str">
        <f aca="false">IF(AND(CODE(MID(B168,2,1))&gt;=97,CODE(MID(B168,2,1))&lt;=122),LEFT(B168,2),LEFT(B168,1))</f>
        <v>Ca</v>
      </c>
      <c r="K168" s="0" t="n">
        <f aca="false">IF(J168="","",_xlfn.XLOOKUP(TRIM(J168),Metallic_Radius_Table!A:A,Metallic_Radius_Table!B:B))</f>
        <v>1.97</v>
      </c>
      <c r="L168" s="0" t="str">
        <f aca="false">IF(ISNUMBER(SEARCH("La",B168)),"La",
 IF(ISNUMBER(SEARCH("Nd",B168)),"Nd",
 IF(ISNUMBER(SEARCH("Eu",B168)),"Eu",
 IF(ISNUMBER(SEARCH("Gd",B168)),"Gd",""))))</f>
        <v/>
      </c>
      <c r="M168" s="0" t="str">
        <f aca="false">IF(L168="","",_xlfn.XLOOKUP(TRIM(L168),Metallic_Radius_Table!A:A,Metallic_Radius_Table!B:B))</f>
        <v/>
      </c>
      <c r="N168" s="0" t="str">
        <f aca="false">TRIM(LEFT(C168,FIND(",",C168)-1))</f>
        <v>W</v>
      </c>
      <c r="O168" s="3" t="n">
        <f aca="false">IF(N168="","",_xlfn.XLOOKUP(TRIM(N168),Metallic_Radius_Table!A:A,Metallic_Radius_Table!B:B))</f>
        <v>1.41</v>
      </c>
      <c r="P168" s="0" t="str">
        <f aca="false">TRIM(MID(C168,FIND(",",C168)+1,5))</f>
        <v>Mo</v>
      </c>
      <c r="Q168" s="0" t="n">
        <f aca="false">IF(P168="","",_xlfn.XLOOKUP(TRIM(P168),Metallic_Radius_Table!A:A,Metallic_Radius_Table!B:B))</f>
        <v>1.39</v>
      </c>
      <c r="R168" s="0" t="str">
        <f aca="false">IF(G168&gt;=1,   "Ferromagnetic / Ferrimagnetic",   IF(G168&gt;=0.05,      "Paramagnetic / Weakly magnetic",      "Antiferromagnetic / Diamagnetic"))</f>
        <v>Ferromagnetic / Ferrimagnetic</v>
      </c>
      <c r="U168" s="0" t="str">
        <f aca="false">IF(G168&gt;=1,
   "FM → PM (Curie-type)",
   IF(G168&lt;0.05,
      "AFM → PM (Néel-type)",
      "No long-range magnetic transition"))</f>
        <v>FM → PM (Curie-type)</v>
      </c>
    </row>
    <row r="169" customFormat="false" ht="13.8" hidden="false" customHeight="false" outlineLevel="0" collapsed="false">
      <c r="A169" s="0" t="s">
        <v>409</v>
      </c>
      <c r="B169" s="0" t="s">
        <v>410</v>
      </c>
      <c r="C169" s="0" t="s">
        <v>411</v>
      </c>
      <c r="D169" s="0" t="n">
        <v>-3.11584376349999</v>
      </c>
      <c r="E169" s="0" t="n">
        <v>0</v>
      </c>
      <c r="F169" s="0" t="n">
        <v>2.7637</v>
      </c>
      <c r="G169" s="4" t="n">
        <v>2.8E-006</v>
      </c>
      <c r="H169" s="0" t="s">
        <v>352</v>
      </c>
      <c r="I169" s="2" t="b">
        <f aca="false">TRUE()</f>
        <v>1</v>
      </c>
      <c r="J169" s="0" t="str">
        <f aca="false">IF(AND(CODE(MID(B169,2,1))&gt;=97,CODE(MID(B169,2,1))&lt;=122),LEFT(B169,2),LEFT(B169,1))</f>
        <v>Ca</v>
      </c>
      <c r="K169" s="0" t="n">
        <f aca="false">IF(J169="","",_xlfn.XLOOKUP(TRIM(J169),Metallic_Radius_Table!A:A,Metallic_Radius_Table!B:B))</f>
        <v>1.97</v>
      </c>
      <c r="L169" s="0" t="str">
        <f aca="false">IF(ISNUMBER(SEARCH("La",B169)),"La",
 IF(ISNUMBER(SEARCH("Nd",B169)),"Nd",
 IF(ISNUMBER(SEARCH("Eu",B169)),"Eu",
 IF(ISNUMBER(SEARCH("Gd",B169)),"Gd",""))))</f>
        <v/>
      </c>
      <c r="M169" s="0" t="str">
        <f aca="false">IF(L169="","",_xlfn.XLOOKUP(TRIM(L169),Metallic_Radius_Table!A:A,Metallic_Radius_Table!B:B))</f>
        <v/>
      </c>
      <c r="N169" s="0" t="str">
        <f aca="false">TRIM(LEFT(C169,FIND(",",C169)-1))</f>
        <v>Nb</v>
      </c>
      <c r="O169" s="3" t="n">
        <f aca="false">IF(N169="","",_xlfn.XLOOKUP(TRIM(N169),Metallic_Radius_Table!A:A,Metallic_Radius_Table!B:B))</f>
        <v>1.46</v>
      </c>
      <c r="P169" s="0" t="str">
        <f aca="false">TRIM(MID(C169,FIND(",",C169)+1,5))</f>
        <v>Cr</v>
      </c>
      <c r="Q169" s="0" t="n">
        <f aca="false">IF(P169="","",_xlfn.XLOOKUP(TRIM(P169),Metallic_Radius_Table!A:A,Metallic_Radius_Table!B:B))</f>
        <v>1.28</v>
      </c>
      <c r="R169" s="0" t="str">
        <f aca="false">IF(G169&gt;=1,   "Ferromagnetic / Ferrimagnetic",   IF(G169&gt;=0.05,      "Paramagnetic / Weakly magnetic",      "Antiferromagnetic / Diamagnetic"))</f>
        <v>Antiferromagnetic / Diamagnetic</v>
      </c>
      <c r="U169" s="0" t="str">
        <f aca="false">IF(G169&gt;=1,
   "FM → PM (Curie-type)",
   IF(G169&lt;0.05,
      "AFM → PM (Néel-type)",
      "No long-range magnetic transition"))</f>
        <v>AFM → PM (Néel-type)</v>
      </c>
    </row>
    <row r="170" customFormat="false" ht="13.8" hidden="false" customHeight="false" outlineLevel="0" collapsed="false">
      <c r="A170" s="0" t="s">
        <v>412</v>
      </c>
      <c r="B170" s="0" t="s">
        <v>413</v>
      </c>
      <c r="C170" s="0" t="s">
        <v>414</v>
      </c>
      <c r="D170" s="0" t="n">
        <v>-2.94169549199999</v>
      </c>
      <c r="E170" s="0" t="n">
        <v>0</v>
      </c>
      <c r="F170" s="0" t="n">
        <v>2.08709999999999</v>
      </c>
      <c r="G170" s="0" t="n">
        <v>0</v>
      </c>
      <c r="H170" s="0" t="s">
        <v>352</v>
      </c>
      <c r="I170" s="2" t="b">
        <f aca="false">TRUE()</f>
        <v>1</v>
      </c>
      <c r="J170" s="0" t="str">
        <f aca="false">IF(AND(CODE(MID(B170,2,1))&gt;=97,CODE(MID(B170,2,1))&lt;=122),LEFT(B170,2),LEFT(B170,1))</f>
        <v>Ca</v>
      </c>
      <c r="K170" s="0" t="n">
        <f aca="false">IF(J170="","",_xlfn.XLOOKUP(TRIM(J170),Metallic_Radius_Table!A:A,Metallic_Radius_Table!B:B))</f>
        <v>1.97</v>
      </c>
      <c r="L170" s="0" t="str">
        <f aca="false">IF(ISNUMBER(SEARCH("La",B170)),"La",
 IF(ISNUMBER(SEARCH("Nd",B170)),"Nd",
 IF(ISNUMBER(SEARCH("Eu",B170)),"Eu",
 IF(ISNUMBER(SEARCH("Gd",B170)),"Gd",""))))</f>
        <v/>
      </c>
      <c r="M170" s="0" t="str">
        <f aca="false">IF(L170="","",_xlfn.XLOOKUP(TRIM(L170),Metallic_Radius_Table!A:A,Metallic_Radius_Table!B:B))</f>
        <v/>
      </c>
      <c r="N170" s="0" t="str">
        <f aca="false">TRIM(LEFT(C170,FIND(",",C170)-1))</f>
        <v>Nb</v>
      </c>
      <c r="O170" s="3" t="n">
        <f aca="false">IF(N170="","",_xlfn.XLOOKUP(TRIM(N170),Metallic_Radius_Table!A:A,Metallic_Radius_Table!B:B))</f>
        <v>1.46</v>
      </c>
      <c r="P170" s="0" t="str">
        <f aca="false">TRIM(MID(C170,FIND(",",C170)+1,5))</f>
        <v>Fe</v>
      </c>
      <c r="Q170" s="0" t="n">
        <f aca="false">IF(P170="","",_xlfn.XLOOKUP(TRIM(P170),Metallic_Radius_Table!A:A,Metallic_Radius_Table!B:B))</f>
        <v>1.26</v>
      </c>
      <c r="R170" s="0" t="str">
        <f aca="false">IF(G170&gt;=1,   "Ferromagnetic / Ferrimagnetic",   IF(G170&gt;=0.05,      "Paramagnetic / Weakly magnetic",      "Antiferromagnetic / Diamagnetic"))</f>
        <v>Antiferromagnetic / Diamagnetic</v>
      </c>
      <c r="U170" s="0" t="str">
        <f aca="false">IF(G170&gt;=1,
   "FM → PM (Curie-type)",
   IF(G170&lt;0.05,
      "AFM → PM (Néel-type)",
      "No long-range magnetic transition"))</f>
        <v>AFM → PM (Néel-type)</v>
      </c>
    </row>
    <row r="171" customFormat="false" ht="13.8" hidden="false" customHeight="false" outlineLevel="0" collapsed="false">
      <c r="A171" s="0" t="s">
        <v>415</v>
      </c>
      <c r="B171" s="0" t="s">
        <v>416</v>
      </c>
      <c r="C171" s="0" t="s">
        <v>417</v>
      </c>
      <c r="D171" s="0" t="n">
        <v>-2.094400157</v>
      </c>
      <c r="E171" s="0" t="n">
        <v>0</v>
      </c>
      <c r="F171" s="0" t="n">
        <v>0</v>
      </c>
      <c r="G171" s="0" t="n">
        <v>5.4432862</v>
      </c>
      <c r="H171" s="0" t="s">
        <v>352</v>
      </c>
      <c r="I171" s="2" t="b">
        <f aca="false">TRUE()</f>
        <v>1</v>
      </c>
      <c r="J171" s="0" t="str">
        <f aca="false">IF(AND(CODE(MID(B171,2,1))&gt;=97,CODE(MID(B171,2,1))&lt;=122),LEFT(B171,2),LEFT(B171,1))</f>
        <v>Ca</v>
      </c>
      <c r="K171" s="0" t="n">
        <f aca="false">IF(J171="","",_xlfn.XLOOKUP(TRIM(J171),Metallic_Radius_Table!A:A,Metallic_Radius_Table!B:B))</f>
        <v>1.97</v>
      </c>
      <c r="L171" s="0" t="str">
        <f aca="false">IF(ISNUMBER(SEARCH("La",B171)),"La",
 IF(ISNUMBER(SEARCH("Nd",B171)),"Nd",
 IF(ISNUMBER(SEARCH("Eu",B171)),"Eu",
 IF(ISNUMBER(SEARCH("Gd",B171)),"Gd",""))))</f>
        <v/>
      </c>
      <c r="M171" s="0" t="str">
        <f aca="false">IF(L171="","",_xlfn.XLOOKUP(TRIM(L171),Metallic_Radius_Table!A:A,Metallic_Radius_Table!B:B))</f>
        <v/>
      </c>
      <c r="N171" s="0" t="str">
        <f aca="false">TRIM(LEFT(C171,FIND(",",C171)-1))</f>
        <v>Ni</v>
      </c>
      <c r="O171" s="3" t="n">
        <f aca="false">IF(N171="","",_xlfn.XLOOKUP(TRIM(N171),Metallic_Radius_Table!A:A,Metallic_Radius_Table!B:B))</f>
        <v>1.24</v>
      </c>
      <c r="P171" s="0" t="str">
        <f aca="false">TRIM(MID(C171,FIND(",",C171)+1,5))</f>
        <v>Ir</v>
      </c>
      <c r="Q171" s="0" t="n">
        <f aca="false">IF(P171="","",_xlfn.XLOOKUP(TRIM(P171),Metallic_Radius_Table!A:A,Metallic_Radius_Table!B:B))</f>
        <v>1.36</v>
      </c>
      <c r="R171" s="0" t="str">
        <f aca="false">IF(G171&gt;=1,   "Ferromagnetic / Ferrimagnetic",   IF(G171&gt;=0.05,      "Paramagnetic / Weakly magnetic",      "Antiferromagnetic / Diamagnetic"))</f>
        <v>Ferromagnetic / Ferrimagnetic</v>
      </c>
      <c r="U171" s="0" t="str">
        <f aca="false">IF(G171&gt;=1,
   "FM → PM (Curie-type)",
   IF(G171&lt;0.05,
      "AFM → PM (Néel-type)",
      "No long-range magnetic transition"))</f>
        <v>FM → PM (Curie-type)</v>
      </c>
    </row>
    <row r="172" customFormat="false" ht="13.8" hidden="false" customHeight="false" outlineLevel="0" collapsed="false">
      <c r="A172" s="0" t="s">
        <v>418</v>
      </c>
      <c r="B172" s="0" t="s">
        <v>419</v>
      </c>
      <c r="C172" s="0" t="s">
        <v>108</v>
      </c>
      <c r="D172" s="0" t="n">
        <v>-2.50167008399999</v>
      </c>
      <c r="E172" s="0" t="n">
        <v>0.106510789000001</v>
      </c>
      <c r="F172" s="0" t="n">
        <v>0.5975</v>
      </c>
      <c r="G172" s="0" t="n">
        <v>1.9999969</v>
      </c>
      <c r="H172" s="0" t="s">
        <v>45</v>
      </c>
      <c r="I172" s="2" t="b">
        <f aca="false">TRUE()</f>
        <v>1</v>
      </c>
      <c r="J172" s="0" t="str">
        <f aca="false">IF(AND(CODE(MID(B172,2,1))&gt;=97,CODE(MID(B172,2,1))&lt;=122),LEFT(B172,2),LEFT(B172,1))</f>
        <v>Ca</v>
      </c>
      <c r="K172" s="0" t="n">
        <f aca="false">IF(J172="","",_xlfn.XLOOKUP(TRIM(J172),Metallic_Radius_Table!A:A,Metallic_Radius_Table!B:B))</f>
        <v>1.97</v>
      </c>
      <c r="L172" s="0" t="str">
        <f aca="false">IF(ISNUMBER(SEARCH("La",B172)),"La",
 IF(ISNUMBER(SEARCH("Nd",B172)),"Nd",
 IF(ISNUMBER(SEARCH("Eu",B172)),"Eu",
 IF(ISNUMBER(SEARCH("Gd",B172)),"Gd",""))))</f>
        <v/>
      </c>
      <c r="M172" s="0" t="str">
        <f aca="false">IF(L172="","",_xlfn.XLOOKUP(TRIM(L172),Metallic_Radius_Table!A:A,Metallic_Radius_Table!B:B))</f>
        <v/>
      </c>
      <c r="N172" s="0" t="str">
        <f aca="false">TRIM(LEFT(C172,FIND(",",C172)-1))</f>
        <v>Ni</v>
      </c>
      <c r="O172" s="3" t="n">
        <f aca="false">IF(N172="","",_xlfn.XLOOKUP(TRIM(N172),Metallic_Radius_Table!A:A,Metallic_Radius_Table!B:B))</f>
        <v>1.24</v>
      </c>
      <c r="P172" s="0" t="str">
        <f aca="false">TRIM(MID(C172,FIND(",",C172)+1,5))</f>
        <v>W</v>
      </c>
      <c r="Q172" s="0" t="n">
        <f aca="false">IF(P172="","",_xlfn.XLOOKUP(TRIM(P172),Metallic_Radius_Table!A:A,Metallic_Radius_Table!B:B))</f>
        <v>1.41</v>
      </c>
      <c r="R172" s="0" t="str">
        <f aca="false">IF(G172&gt;=1,   "Ferromagnetic / Ferrimagnetic",   IF(G172&gt;=0.05,      "Paramagnetic / Weakly magnetic",      "Antiferromagnetic / Diamagnetic"))</f>
        <v>Ferromagnetic / Ferrimagnetic</v>
      </c>
      <c r="U172" s="0" t="str">
        <f aca="false">IF(G172&gt;=1,
   "FM → PM (Curie-type)",
   IF(G172&lt;0.05,
      "AFM → PM (Néel-type)",
      "No long-range magnetic transition"))</f>
        <v>FM → PM (Curie-type)</v>
      </c>
    </row>
    <row r="173" customFormat="false" ht="13.8" hidden="false" customHeight="false" outlineLevel="0" collapsed="false">
      <c r="A173" s="0" t="s">
        <v>420</v>
      </c>
      <c r="B173" s="0" t="s">
        <v>419</v>
      </c>
      <c r="C173" s="0" t="s">
        <v>108</v>
      </c>
      <c r="D173" s="0" t="n">
        <v>-2.608180873</v>
      </c>
      <c r="E173" s="0" t="n">
        <v>0</v>
      </c>
      <c r="F173" s="0" t="n">
        <v>2.933</v>
      </c>
      <c r="G173" s="0" t="n">
        <v>0</v>
      </c>
      <c r="H173" s="0" t="s">
        <v>352</v>
      </c>
      <c r="I173" s="2" t="b">
        <f aca="false">TRUE()</f>
        <v>1</v>
      </c>
      <c r="J173" s="0" t="str">
        <f aca="false">IF(AND(CODE(MID(B173,2,1))&gt;=97,CODE(MID(B173,2,1))&lt;=122),LEFT(B173,2),LEFT(B173,1))</f>
        <v>Ca</v>
      </c>
      <c r="K173" s="0" t="n">
        <f aca="false">IF(J173="","",_xlfn.XLOOKUP(TRIM(J173),Metallic_Radius_Table!A:A,Metallic_Radius_Table!B:B))</f>
        <v>1.97</v>
      </c>
      <c r="L173" s="0" t="str">
        <f aca="false">IF(ISNUMBER(SEARCH("La",B173)),"La",
 IF(ISNUMBER(SEARCH("Nd",B173)),"Nd",
 IF(ISNUMBER(SEARCH("Eu",B173)),"Eu",
 IF(ISNUMBER(SEARCH("Gd",B173)),"Gd",""))))</f>
        <v/>
      </c>
      <c r="M173" s="0" t="str">
        <f aca="false">IF(L173="","",_xlfn.XLOOKUP(TRIM(L173),Metallic_Radius_Table!A:A,Metallic_Radius_Table!B:B))</f>
        <v/>
      </c>
      <c r="N173" s="0" t="str">
        <f aca="false">TRIM(LEFT(C173,FIND(",",C173)-1))</f>
        <v>Ni</v>
      </c>
      <c r="O173" s="3" t="n">
        <f aca="false">IF(N173="","",_xlfn.XLOOKUP(TRIM(N173),Metallic_Radius_Table!A:A,Metallic_Radius_Table!B:B))</f>
        <v>1.24</v>
      </c>
      <c r="P173" s="0" t="str">
        <f aca="false">TRIM(MID(C173,FIND(",",C173)+1,5))</f>
        <v>W</v>
      </c>
      <c r="Q173" s="0" t="n">
        <f aca="false">IF(P173="","",_xlfn.XLOOKUP(TRIM(P173),Metallic_Radius_Table!A:A,Metallic_Radius_Table!B:B))</f>
        <v>1.41</v>
      </c>
      <c r="R173" s="0" t="str">
        <f aca="false">IF(G173&gt;=1,   "Ferromagnetic / Ferrimagnetic",   IF(G173&gt;=0.05,      "Paramagnetic / Weakly magnetic",      "Antiferromagnetic / Diamagnetic"))</f>
        <v>Antiferromagnetic / Diamagnetic</v>
      </c>
      <c r="U173" s="0" t="str">
        <f aca="false">IF(G173&gt;=1,
   "FM → PM (Curie-type)",
   IF(G173&lt;0.05,
      "AFM → PM (Néel-type)",
      "No long-range magnetic transition"))</f>
        <v>AFM → PM (Néel-type)</v>
      </c>
    </row>
    <row r="174" customFormat="false" ht="13.8" hidden="false" customHeight="false" outlineLevel="0" collapsed="false">
      <c r="A174" s="0" t="s">
        <v>421</v>
      </c>
      <c r="B174" s="0" t="s">
        <v>419</v>
      </c>
      <c r="C174" s="0" t="s">
        <v>108</v>
      </c>
      <c r="D174" s="0" t="n">
        <v>-2.50652113299999</v>
      </c>
      <c r="E174" s="0" t="n">
        <v>0.101659740000001</v>
      </c>
      <c r="F174" s="0" t="n">
        <v>1.50129999999999</v>
      </c>
      <c r="G174" s="0" t="n">
        <v>4.0002619</v>
      </c>
      <c r="H174" s="0" t="s">
        <v>352</v>
      </c>
      <c r="I174" s="2" t="b">
        <f aca="false">TRUE()</f>
        <v>1</v>
      </c>
      <c r="J174" s="0" t="str">
        <f aca="false">IF(AND(CODE(MID(B174,2,1))&gt;=97,CODE(MID(B174,2,1))&lt;=122),LEFT(B174,2),LEFT(B174,1))</f>
        <v>Ca</v>
      </c>
      <c r="K174" s="0" t="n">
        <f aca="false">IF(J174="","",_xlfn.XLOOKUP(TRIM(J174),Metallic_Radius_Table!A:A,Metallic_Radius_Table!B:B))</f>
        <v>1.97</v>
      </c>
      <c r="L174" s="0" t="str">
        <f aca="false">IF(ISNUMBER(SEARCH("La",B174)),"La",
 IF(ISNUMBER(SEARCH("Nd",B174)),"Nd",
 IF(ISNUMBER(SEARCH("Eu",B174)),"Eu",
 IF(ISNUMBER(SEARCH("Gd",B174)),"Gd",""))))</f>
        <v/>
      </c>
      <c r="M174" s="0" t="str">
        <f aca="false">IF(L174="","",_xlfn.XLOOKUP(TRIM(L174),Metallic_Radius_Table!A:A,Metallic_Radius_Table!B:B))</f>
        <v/>
      </c>
      <c r="N174" s="0" t="str">
        <f aca="false">TRIM(LEFT(C174,FIND(",",C174)-1))</f>
        <v>Ni</v>
      </c>
      <c r="O174" s="3" t="n">
        <f aca="false">IF(N174="","",_xlfn.XLOOKUP(TRIM(N174),Metallic_Radius_Table!A:A,Metallic_Radius_Table!B:B))</f>
        <v>1.24</v>
      </c>
      <c r="P174" s="0" t="str">
        <f aca="false">TRIM(MID(C174,FIND(",",C174)+1,5))</f>
        <v>W</v>
      </c>
      <c r="Q174" s="0" t="n">
        <f aca="false">IF(P174="","",_xlfn.XLOOKUP(TRIM(P174),Metallic_Radius_Table!A:A,Metallic_Radius_Table!B:B))</f>
        <v>1.41</v>
      </c>
      <c r="R174" s="0" t="str">
        <f aca="false">IF(G174&gt;=1,   "Ferromagnetic / Ferrimagnetic",   IF(G174&gt;=0.05,      "Paramagnetic / Weakly magnetic",      "Antiferromagnetic / Diamagnetic"))</f>
        <v>Ferromagnetic / Ferrimagnetic</v>
      </c>
      <c r="U174" s="0" t="str">
        <f aca="false">IF(G174&gt;=1,
   "FM → PM (Curie-type)",
   IF(G174&lt;0.05,
      "AFM → PM (Néel-type)",
      "No long-range magnetic transition"))</f>
        <v>FM → PM (Curie-type)</v>
      </c>
    </row>
    <row r="175" customFormat="false" ht="13.8" hidden="false" customHeight="false" outlineLevel="0" collapsed="false">
      <c r="A175" s="0" t="s">
        <v>422</v>
      </c>
      <c r="B175" s="0" t="s">
        <v>423</v>
      </c>
      <c r="C175" s="0" t="s">
        <v>222</v>
      </c>
      <c r="D175" s="0" t="n">
        <v>-2.88907456023333</v>
      </c>
      <c r="E175" s="0" t="n">
        <v>0.037270560114286</v>
      </c>
      <c r="F175" s="0" t="n">
        <v>0.361199999999999</v>
      </c>
      <c r="G175" s="0" t="n">
        <v>7.99913169999999</v>
      </c>
      <c r="H175" s="0" t="s">
        <v>424</v>
      </c>
      <c r="I175" s="2" t="b">
        <f aca="false">TRUE()</f>
        <v>1</v>
      </c>
      <c r="J175" s="0" t="str">
        <f aca="false">IF(AND(CODE(MID(B175,2,1))&gt;=97,CODE(MID(B175,2,1))&lt;=122),LEFT(B175,2),LEFT(B175,1))</f>
        <v>Ca</v>
      </c>
      <c r="K175" s="0" t="n">
        <f aca="false">IF(J175="","",_xlfn.XLOOKUP(TRIM(J175),Metallic_Radius_Table!A:A,Metallic_Radius_Table!B:B))</f>
        <v>1.97</v>
      </c>
      <c r="L175" s="0" t="str">
        <f aca="false">IF(ISNUMBER(SEARCH("La",B175)),"La",
 IF(ISNUMBER(SEARCH("Nd",B175)),"Nd",
 IF(ISNUMBER(SEARCH("Eu",B175)),"Eu",
 IF(ISNUMBER(SEARCH("Gd",B175)),"Gd",""))))</f>
        <v/>
      </c>
      <c r="M175" s="0" t="str">
        <f aca="false">IF(L175="","",_xlfn.XLOOKUP(TRIM(L175),Metallic_Radius_Table!A:A,Metallic_Radius_Table!B:B))</f>
        <v/>
      </c>
      <c r="N175" s="0" t="str">
        <f aca="false">TRIM(LEFT(C175,FIND(",",C175)-1))</f>
        <v>Co</v>
      </c>
      <c r="O175" s="3" t="n">
        <f aca="false">IF(N175="","",_xlfn.XLOOKUP(TRIM(N175),Metallic_Radius_Table!A:A,Metallic_Radius_Table!B:B))</f>
        <v>1.25</v>
      </c>
      <c r="P175" s="0" t="str">
        <f aca="false">TRIM(MID(C175,FIND(",",C175)+1,5))</f>
        <v>Ta</v>
      </c>
      <c r="Q175" s="0" t="n">
        <f aca="false">IF(P175="","",_xlfn.XLOOKUP(TRIM(P175),Metallic_Radius_Table!A:A,Metallic_Radius_Table!B:B))</f>
        <v>1.46</v>
      </c>
      <c r="R175" s="0" t="str">
        <f aca="false">IF(G175&gt;=1,   "Ferromagnetic / Ferrimagnetic",   IF(G175&gt;=0.05,      "Paramagnetic / Weakly magnetic",      "Antiferromagnetic / Diamagnetic"))</f>
        <v>Ferromagnetic / Ferrimagnetic</v>
      </c>
      <c r="U175" s="0" t="str">
        <f aca="false">IF(G175&gt;=1,
   "FM → PM (Curie-type)",
   IF(G175&lt;0.05,
      "AFM → PM (Néel-type)",
      "No long-range magnetic transition"))</f>
        <v>FM → PM (Curie-type)</v>
      </c>
    </row>
    <row r="176" customFormat="false" ht="13.8" hidden="false" customHeight="false" outlineLevel="0" collapsed="false">
      <c r="A176" s="0" t="s">
        <v>425</v>
      </c>
      <c r="B176" s="0" t="s">
        <v>426</v>
      </c>
      <c r="C176" s="0" t="s">
        <v>427</v>
      </c>
      <c r="D176" s="0" t="n">
        <v>-3.23331910423333</v>
      </c>
      <c r="E176" s="0" t="n">
        <v>0</v>
      </c>
      <c r="F176" s="0" t="n">
        <v>2.7922</v>
      </c>
      <c r="G176" s="4" t="n">
        <v>3.9E-006</v>
      </c>
      <c r="H176" s="0" t="s">
        <v>352</v>
      </c>
      <c r="I176" s="2" t="b">
        <f aca="false">TRUE()</f>
        <v>1</v>
      </c>
      <c r="J176" s="0" t="str">
        <f aca="false">IF(AND(CODE(MID(B176,2,1))&gt;=97,CODE(MID(B176,2,1))&lt;=122),LEFT(B176,2),LEFT(B176,1))</f>
        <v>Ca</v>
      </c>
      <c r="K176" s="0" t="n">
        <f aca="false">IF(J176="","",_xlfn.XLOOKUP(TRIM(J176),Metallic_Radius_Table!A:A,Metallic_Radius_Table!B:B))</f>
        <v>1.97</v>
      </c>
      <c r="L176" s="0" t="str">
        <f aca="false">IF(ISNUMBER(SEARCH("La",B176)),"La",
 IF(ISNUMBER(SEARCH("Nd",B176)),"Nd",
 IF(ISNUMBER(SEARCH("Eu",B176)),"Eu",
 IF(ISNUMBER(SEARCH("Gd",B176)),"Gd",""))))</f>
        <v/>
      </c>
      <c r="M176" s="0" t="str">
        <f aca="false">IF(L176="","",_xlfn.XLOOKUP(TRIM(L176),Metallic_Radius_Table!A:A,Metallic_Radius_Table!B:B))</f>
        <v/>
      </c>
      <c r="N176" s="0" t="str">
        <f aca="false">TRIM(LEFT(C176,FIND(",",C176)-1))</f>
        <v>Ta</v>
      </c>
      <c r="O176" s="3" t="n">
        <f aca="false">IF(N176="","",_xlfn.XLOOKUP(TRIM(N176),Metallic_Radius_Table!A:A,Metallic_Radius_Table!B:B))</f>
        <v>1.46</v>
      </c>
      <c r="P176" s="0" t="str">
        <f aca="false">TRIM(MID(C176,FIND(",",C176)+1,5))</f>
        <v>Cr</v>
      </c>
      <c r="Q176" s="0" t="n">
        <f aca="false">IF(P176="","",_xlfn.XLOOKUP(TRIM(P176),Metallic_Radius_Table!A:A,Metallic_Radius_Table!B:B))</f>
        <v>1.28</v>
      </c>
      <c r="R176" s="0" t="str">
        <f aca="false">IF(G176&gt;=1,   "Ferromagnetic / Ferrimagnetic",   IF(G176&gt;=0.05,      "Paramagnetic / Weakly magnetic",      "Antiferromagnetic / Diamagnetic"))</f>
        <v>Antiferromagnetic / Diamagnetic</v>
      </c>
      <c r="U176" s="0" t="str">
        <f aca="false">IF(G176&gt;=1,
   "FM → PM (Curie-type)",
   IF(G176&lt;0.05,
      "AFM → PM (Néel-type)",
      "No long-range magnetic transition"))</f>
        <v>AFM → PM (Néel-type)</v>
      </c>
    </row>
    <row r="177" customFormat="false" ht="13.8" hidden="false" customHeight="false" outlineLevel="0" collapsed="false">
      <c r="A177" s="0" t="s">
        <v>428</v>
      </c>
      <c r="B177" s="0" t="s">
        <v>426</v>
      </c>
      <c r="C177" s="0" t="s">
        <v>427</v>
      </c>
      <c r="D177" s="0" t="n">
        <v>-3.21016376548333</v>
      </c>
      <c r="E177" s="0" t="n">
        <v>0.023155338749967</v>
      </c>
      <c r="F177" s="0" t="n">
        <v>2.63519999999999</v>
      </c>
      <c r="G177" s="0" t="n">
        <v>0</v>
      </c>
      <c r="H177" s="0" t="s">
        <v>424</v>
      </c>
      <c r="I177" s="2" t="b">
        <f aca="false">TRUE()</f>
        <v>1</v>
      </c>
      <c r="J177" s="0" t="str">
        <f aca="false">IF(AND(CODE(MID(B177,2,1))&gt;=97,CODE(MID(B177,2,1))&lt;=122),LEFT(B177,2),LEFT(B177,1))</f>
        <v>Ca</v>
      </c>
      <c r="K177" s="0" t="n">
        <f aca="false">IF(J177="","",_xlfn.XLOOKUP(TRIM(J177),Metallic_Radius_Table!A:A,Metallic_Radius_Table!B:B))</f>
        <v>1.97</v>
      </c>
      <c r="L177" s="0" t="str">
        <f aca="false">IF(ISNUMBER(SEARCH("La",B177)),"La",
 IF(ISNUMBER(SEARCH("Nd",B177)),"Nd",
 IF(ISNUMBER(SEARCH("Eu",B177)),"Eu",
 IF(ISNUMBER(SEARCH("Gd",B177)),"Gd",""))))</f>
        <v/>
      </c>
      <c r="M177" s="0" t="str">
        <f aca="false">IF(L177="","",_xlfn.XLOOKUP(TRIM(L177),Metallic_Radius_Table!A:A,Metallic_Radius_Table!B:B))</f>
        <v/>
      </c>
      <c r="N177" s="0" t="str">
        <f aca="false">TRIM(LEFT(C177,FIND(",",C177)-1))</f>
        <v>Ta</v>
      </c>
      <c r="O177" s="3" t="n">
        <f aca="false">IF(N177="","",_xlfn.XLOOKUP(TRIM(N177),Metallic_Radius_Table!A:A,Metallic_Radius_Table!B:B))</f>
        <v>1.46</v>
      </c>
      <c r="P177" s="0" t="str">
        <f aca="false">TRIM(MID(C177,FIND(",",C177)+1,5))</f>
        <v>Cr</v>
      </c>
      <c r="Q177" s="0" t="n">
        <f aca="false">IF(P177="","",_xlfn.XLOOKUP(TRIM(P177),Metallic_Radius_Table!A:A,Metallic_Radius_Table!B:B))</f>
        <v>1.28</v>
      </c>
      <c r="R177" s="0" t="str">
        <f aca="false">IF(G177&gt;=1,   "Ferromagnetic / Ferrimagnetic",   IF(G177&gt;=0.05,      "Paramagnetic / Weakly magnetic",      "Antiferromagnetic / Diamagnetic"))</f>
        <v>Antiferromagnetic / Diamagnetic</v>
      </c>
      <c r="U177" s="0" t="str">
        <f aca="false">IF(G177&gt;=1,
   "FM → PM (Curie-type)",
   IF(G177&lt;0.05,
      "AFM → PM (Néel-type)",
      "No long-range magnetic transition"))</f>
        <v>AFM → PM (Néel-type)</v>
      </c>
    </row>
    <row r="178" customFormat="false" ht="13.8" hidden="false" customHeight="false" outlineLevel="0" collapsed="false">
      <c r="A178" s="0" t="s">
        <v>429</v>
      </c>
      <c r="B178" s="0" t="s">
        <v>430</v>
      </c>
      <c r="C178" s="0" t="s">
        <v>228</v>
      </c>
      <c r="D178" s="0" t="n">
        <v>-3.03563844373333</v>
      </c>
      <c r="E178" s="0" t="n">
        <v>0.005046326249999</v>
      </c>
      <c r="F178" s="0" t="n">
        <v>1.2064</v>
      </c>
      <c r="G178" s="0" t="n">
        <v>10.0000289</v>
      </c>
      <c r="H178" s="0" t="s">
        <v>424</v>
      </c>
      <c r="I178" s="2" t="b">
        <f aca="false">TRUE()</f>
        <v>1</v>
      </c>
      <c r="J178" s="0" t="str">
        <f aca="false">IF(AND(CODE(MID(B178,2,1))&gt;=97,CODE(MID(B178,2,1))&lt;=122),LEFT(B178,2),LEFT(B178,1))</f>
        <v>Ca</v>
      </c>
      <c r="K178" s="0" t="n">
        <f aca="false">IF(J178="","",_xlfn.XLOOKUP(TRIM(J178),Metallic_Radius_Table!A:A,Metallic_Radius_Table!B:B))</f>
        <v>1.97</v>
      </c>
      <c r="L178" s="0" t="str">
        <f aca="false">IF(ISNUMBER(SEARCH("La",B178)),"La",
 IF(ISNUMBER(SEARCH("Nd",B178)),"Nd",
 IF(ISNUMBER(SEARCH("Eu",B178)),"Eu",
 IF(ISNUMBER(SEARCH("Gd",B178)),"Gd",""))))</f>
        <v/>
      </c>
      <c r="M178" s="0" t="str">
        <f aca="false">IF(L178="","",_xlfn.XLOOKUP(TRIM(L178),Metallic_Radius_Table!A:A,Metallic_Radius_Table!B:B))</f>
        <v/>
      </c>
      <c r="N178" s="0" t="str">
        <f aca="false">TRIM(LEFT(C178,FIND(",",C178)-1))</f>
        <v>Fe</v>
      </c>
      <c r="O178" s="3" t="n">
        <f aca="false">IF(N178="","",_xlfn.XLOOKUP(TRIM(N178),Metallic_Radius_Table!A:A,Metallic_Radius_Table!B:B))</f>
        <v>1.26</v>
      </c>
      <c r="P178" s="0" t="str">
        <f aca="false">TRIM(MID(C178,FIND(",",C178)+1,5))</f>
        <v>Ta</v>
      </c>
      <c r="Q178" s="0" t="n">
        <f aca="false">IF(P178="","",_xlfn.XLOOKUP(TRIM(P178),Metallic_Radius_Table!A:A,Metallic_Radius_Table!B:B))</f>
        <v>1.46</v>
      </c>
      <c r="R178" s="0" t="str">
        <f aca="false">IF(G178&gt;=1,   "Ferromagnetic / Ferrimagnetic",   IF(G178&gt;=0.05,      "Paramagnetic / Weakly magnetic",      "Antiferromagnetic / Diamagnetic"))</f>
        <v>Ferromagnetic / Ferrimagnetic</v>
      </c>
      <c r="U178" s="0" t="str">
        <f aca="false">IF(G178&gt;=1,
   "FM → PM (Curie-type)",
   IF(G178&lt;0.05,
      "AFM → PM (Néel-type)",
      "No long-range magnetic transition"))</f>
        <v>FM → PM (Curie-type)</v>
      </c>
    </row>
    <row r="179" customFormat="false" ht="13.8" hidden="false" customHeight="false" outlineLevel="0" collapsed="false">
      <c r="A179" s="0" t="s">
        <v>431</v>
      </c>
      <c r="B179" s="0" t="s">
        <v>432</v>
      </c>
      <c r="C179" s="0" t="s">
        <v>231</v>
      </c>
      <c r="D179" s="0" t="n">
        <v>-3.11306568052643</v>
      </c>
      <c r="E179" s="0" t="n">
        <v>0.008585782196426</v>
      </c>
      <c r="F179" s="0" t="n">
        <v>0</v>
      </c>
      <c r="G179" s="4" t="n">
        <v>8.5E-006</v>
      </c>
      <c r="H179" s="0" t="s">
        <v>424</v>
      </c>
      <c r="I179" s="2" t="b">
        <f aca="false">TRUE()</f>
        <v>1</v>
      </c>
      <c r="J179" s="0" t="str">
        <f aca="false">IF(AND(CODE(MID(B179,2,1))&gt;=97,CODE(MID(B179,2,1))&lt;=122),LEFT(B179,2),LEFT(B179,1))</f>
        <v>Ca</v>
      </c>
      <c r="K179" s="0" t="n">
        <f aca="false">IF(J179="","",_xlfn.XLOOKUP(TRIM(J179),Metallic_Radius_Table!A:A,Metallic_Radius_Table!B:B))</f>
        <v>1.97</v>
      </c>
      <c r="L179" s="0" t="str">
        <f aca="false">IF(ISNUMBER(SEARCH("La",B179)),"La",
 IF(ISNUMBER(SEARCH("Nd",B179)),"Nd",
 IF(ISNUMBER(SEARCH("Eu",B179)),"Eu",
 IF(ISNUMBER(SEARCH("Gd",B179)),"Gd",""))))</f>
        <v/>
      </c>
      <c r="M179" s="0" t="str">
        <f aca="false">IF(L179="","",_xlfn.XLOOKUP(TRIM(L179),Metallic_Radius_Table!A:A,Metallic_Radius_Table!B:B))</f>
        <v/>
      </c>
      <c r="N179" s="0" t="str">
        <f aca="false">TRIM(LEFT(C179,FIND(",",C179)-1))</f>
        <v>Ta</v>
      </c>
      <c r="O179" s="3" t="n">
        <f aca="false">IF(N179="","",_xlfn.XLOOKUP(TRIM(N179),Metallic_Radius_Table!A:A,Metallic_Radius_Table!B:B))</f>
        <v>1.46</v>
      </c>
      <c r="P179" s="0" t="str">
        <f aca="false">TRIM(MID(C179,FIND(",",C179)+1,5))</f>
        <v>Mn</v>
      </c>
      <c r="Q179" s="0" t="n">
        <f aca="false">IF(P179="","",_xlfn.XLOOKUP(TRIM(P179),Metallic_Radius_Table!A:A,Metallic_Radius_Table!B:B))</f>
        <v>1.27</v>
      </c>
      <c r="R179" s="0" t="str">
        <f aca="false">IF(G179&gt;=1,   "Ferromagnetic / Ferrimagnetic",   IF(G179&gt;=0.05,      "Paramagnetic / Weakly magnetic",      "Antiferromagnetic / Diamagnetic"))</f>
        <v>Antiferromagnetic / Diamagnetic</v>
      </c>
      <c r="U179" s="0" t="str">
        <f aca="false">IF(G179&gt;=1,
   "FM → PM (Curie-type)",
   IF(G179&lt;0.05,
      "AFM → PM (Néel-type)",
      "No long-range magnetic transition"))</f>
        <v>AFM → PM (Néel-type)</v>
      </c>
    </row>
    <row r="180" customFormat="false" ht="13.8" hidden="false" customHeight="false" outlineLevel="0" collapsed="false">
      <c r="A180" s="0" t="s">
        <v>433</v>
      </c>
      <c r="B180" s="0" t="s">
        <v>434</v>
      </c>
      <c r="C180" s="0" t="s">
        <v>435</v>
      </c>
      <c r="D180" s="0" t="n">
        <v>-3.08376108273333</v>
      </c>
      <c r="E180" s="0" t="n">
        <v>0</v>
      </c>
      <c r="F180" s="0" t="n">
        <v>1.4283</v>
      </c>
      <c r="G180" s="0" t="n">
        <v>6.0035494</v>
      </c>
      <c r="H180" s="0" t="s">
        <v>424</v>
      </c>
      <c r="I180" s="2" t="b">
        <f aca="false">TRUE()</f>
        <v>1</v>
      </c>
      <c r="J180" s="0" t="str">
        <f aca="false">IF(AND(CODE(MID(B180,2,1))&gt;=97,CODE(MID(B180,2,1))&lt;=122),LEFT(B180,2),LEFT(B180,1))</f>
        <v>Ca</v>
      </c>
      <c r="K180" s="0" t="n">
        <f aca="false">IF(J180="","",_xlfn.XLOOKUP(TRIM(J180),Metallic_Radius_Table!A:A,Metallic_Radius_Table!B:B))</f>
        <v>1.97</v>
      </c>
      <c r="L180" s="0" t="str">
        <f aca="false">IF(ISNUMBER(SEARCH("La",B180)),"La",
 IF(ISNUMBER(SEARCH("Nd",B180)),"Nd",
 IF(ISNUMBER(SEARCH("Eu",B180)),"Eu",
 IF(ISNUMBER(SEARCH("Gd",B180)),"Gd",""))))</f>
        <v/>
      </c>
      <c r="M180" s="0" t="str">
        <f aca="false">IF(L180="","",_xlfn.XLOOKUP(TRIM(L180),Metallic_Radius_Table!A:A,Metallic_Radius_Table!B:B))</f>
        <v/>
      </c>
      <c r="N180" s="0" t="str">
        <f aca="false">TRIM(LEFT(C180,FIND(",",C180)-1))</f>
        <v>Ta</v>
      </c>
      <c r="O180" s="3" t="n">
        <f aca="false">IF(N180="","",_xlfn.XLOOKUP(TRIM(N180),Metallic_Radius_Table!A:A,Metallic_Radius_Table!B:B))</f>
        <v>1.46</v>
      </c>
      <c r="P180" s="0" t="str">
        <f aca="false">TRIM(MID(C180,FIND(",",C180)+1,5))</f>
        <v>Mo</v>
      </c>
      <c r="Q180" s="0" t="n">
        <f aca="false">IF(P180="","",_xlfn.XLOOKUP(TRIM(P180),Metallic_Radius_Table!A:A,Metallic_Radius_Table!B:B))</f>
        <v>1.39</v>
      </c>
      <c r="R180" s="0" t="str">
        <f aca="false">IF(G180&gt;=1,   "Ferromagnetic / Ferrimagnetic",   IF(G180&gt;=0.05,      "Paramagnetic / Weakly magnetic",      "Antiferromagnetic / Diamagnetic"))</f>
        <v>Ferromagnetic / Ferrimagnetic</v>
      </c>
      <c r="U180" s="0" t="str">
        <f aca="false">IF(G180&gt;=1,
   "FM → PM (Curie-type)",
   IF(G180&lt;0.05,
      "AFM → PM (Néel-type)",
      "No long-range magnetic transition"))</f>
        <v>FM → PM (Curie-type)</v>
      </c>
    </row>
    <row r="181" customFormat="false" ht="13.8" hidden="false" customHeight="false" outlineLevel="0" collapsed="false">
      <c r="A181" s="0" t="s">
        <v>436</v>
      </c>
      <c r="B181" s="0" t="s">
        <v>437</v>
      </c>
      <c r="C181" s="0" t="s">
        <v>438</v>
      </c>
      <c r="D181" s="0" t="n">
        <v>-2.77180654573333</v>
      </c>
      <c r="E181" s="0" t="n">
        <v>0.086347068833335</v>
      </c>
      <c r="F181" s="0" t="n">
        <v>0</v>
      </c>
      <c r="G181" s="0" t="n">
        <v>5.9979182</v>
      </c>
      <c r="H181" s="0" t="s">
        <v>424</v>
      </c>
      <c r="I181" s="2" t="b">
        <f aca="false">TRUE()</f>
        <v>1</v>
      </c>
      <c r="J181" s="0" t="str">
        <f aca="false">IF(AND(CODE(MID(B181,2,1))&gt;=97,CODE(MID(B181,2,1))&lt;=122),LEFT(B181,2),LEFT(B181,1))</f>
        <v>Ca</v>
      </c>
      <c r="K181" s="0" t="n">
        <f aca="false">IF(J181="","",_xlfn.XLOOKUP(TRIM(J181),Metallic_Radius_Table!A:A,Metallic_Radius_Table!B:B))</f>
        <v>1.97</v>
      </c>
      <c r="L181" s="0" t="str">
        <f aca="false">IF(ISNUMBER(SEARCH("La",B181)),"La",
 IF(ISNUMBER(SEARCH("Nd",B181)),"Nd",
 IF(ISNUMBER(SEARCH("Eu",B181)),"Eu",
 IF(ISNUMBER(SEARCH("Gd",B181)),"Gd",""))))</f>
        <v/>
      </c>
      <c r="M181" s="0" t="str">
        <f aca="false">IF(L181="","",_xlfn.XLOOKUP(TRIM(L181),Metallic_Radius_Table!A:A,Metallic_Radius_Table!B:B))</f>
        <v/>
      </c>
      <c r="N181" s="0" t="str">
        <f aca="false">TRIM(LEFT(C181,FIND(",",C181)-1))</f>
        <v>Ta</v>
      </c>
      <c r="O181" s="3" t="n">
        <f aca="false">IF(N181="","",_xlfn.XLOOKUP(TRIM(N181),Metallic_Radius_Table!A:A,Metallic_Radius_Table!B:B))</f>
        <v>1.46</v>
      </c>
      <c r="P181" s="0" t="str">
        <f aca="false">TRIM(MID(C181,FIND(",",C181)+1,5))</f>
        <v>Ni</v>
      </c>
      <c r="Q181" s="0" t="n">
        <f aca="false">IF(P181="","",_xlfn.XLOOKUP(TRIM(P181),Metallic_Radius_Table!A:A,Metallic_Radius_Table!B:B))</f>
        <v>1.24</v>
      </c>
      <c r="R181" s="0" t="str">
        <f aca="false">IF(G181&gt;=1,   "Ferromagnetic / Ferrimagnetic",   IF(G181&gt;=0.05,      "Paramagnetic / Weakly magnetic",      "Antiferromagnetic / Diamagnetic"))</f>
        <v>Ferromagnetic / Ferrimagnetic</v>
      </c>
      <c r="U181" s="0" t="str">
        <f aca="false">IF(G181&gt;=1,
   "FM → PM (Curie-type)",
   IF(G181&lt;0.05,
      "AFM → PM (Néel-type)",
      "No long-range magnetic transition"))</f>
        <v>FM → PM (Curie-type)</v>
      </c>
    </row>
    <row r="182" customFormat="false" ht="13.8" hidden="false" customHeight="false" outlineLevel="0" collapsed="false">
      <c r="A182" s="0" t="s">
        <v>439</v>
      </c>
      <c r="B182" s="0" t="s">
        <v>440</v>
      </c>
      <c r="C182" s="0" t="s">
        <v>441</v>
      </c>
      <c r="D182" s="0" t="n">
        <v>-3.44584108006666</v>
      </c>
      <c r="E182" s="0" t="n">
        <v>0.004500878789054</v>
      </c>
      <c r="F182" s="0" t="n">
        <v>0</v>
      </c>
      <c r="G182" s="0" t="n">
        <v>0.051590699999999</v>
      </c>
      <c r="H182" s="0" t="s">
        <v>424</v>
      </c>
      <c r="I182" s="2" t="b">
        <f aca="false">TRUE()</f>
        <v>1</v>
      </c>
      <c r="J182" s="0" t="str">
        <f aca="false">IF(AND(CODE(MID(B182,2,1))&gt;=97,CODE(MID(B182,2,1))&lt;=122),LEFT(B182,2),LEFT(B182,1))</f>
        <v>Ca</v>
      </c>
      <c r="K182" s="0" t="n">
        <f aca="false">IF(J182="","",_xlfn.XLOOKUP(TRIM(J182),Metallic_Radius_Table!A:A,Metallic_Radius_Table!B:B))</f>
        <v>1.97</v>
      </c>
      <c r="L182" s="0" t="str">
        <f aca="false">IF(ISNUMBER(SEARCH("La",B182)),"La",
 IF(ISNUMBER(SEARCH("Nd",B182)),"Nd",
 IF(ISNUMBER(SEARCH("Eu",B182)),"Eu",
 IF(ISNUMBER(SEARCH("Gd",B182)),"Gd",""))))</f>
        <v/>
      </c>
      <c r="M182" s="0" t="str">
        <f aca="false">IF(L182="","",_xlfn.XLOOKUP(TRIM(L182),Metallic_Radius_Table!A:A,Metallic_Radius_Table!B:B))</f>
        <v/>
      </c>
      <c r="N182" s="0" t="str">
        <f aca="false">TRIM(LEFT(C182,FIND(",",C182)-1))</f>
        <v>Ta</v>
      </c>
      <c r="O182" s="3" t="n">
        <f aca="false">IF(N182="","",_xlfn.XLOOKUP(TRIM(N182),Metallic_Radius_Table!A:A,Metallic_Radius_Table!B:B))</f>
        <v>1.46</v>
      </c>
      <c r="P182" s="0" t="str">
        <f aca="false">TRIM(MID(C182,FIND(",",C182)+1,5))</f>
        <v>Ti</v>
      </c>
      <c r="Q182" s="0" t="n">
        <f aca="false">IF(P182="","",_xlfn.XLOOKUP(TRIM(P182),Metallic_Radius_Table!A:A,Metallic_Radius_Table!B:B))</f>
        <v>1.47</v>
      </c>
      <c r="R182" s="0" t="str">
        <f aca="false">IF(G182&gt;=1,   "Ferromagnetic / Ferrimagnetic",   IF(G182&gt;=0.05,      "Paramagnetic / Weakly magnetic",      "Antiferromagnetic / Diamagnetic"))</f>
        <v>Paramagnetic / Weakly magnetic</v>
      </c>
      <c r="U182" s="0" t="str">
        <f aca="false">IF(G182&gt;=1,
   "FM → PM (Curie-type)",
   IF(G182&lt;0.05,
      "AFM → PM (Néel-type)",
      "No long-range magnetic transition"))</f>
        <v>No long-range magnetic transition</v>
      </c>
    </row>
    <row r="183" customFormat="false" ht="13.8" hidden="false" customHeight="false" outlineLevel="0" collapsed="false">
      <c r="A183" s="0" t="s">
        <v>442</v>
      </c>
      <c r="B183" s="0" t="s">
        <v>443</v>
      </c>
      <c r="C183" s="0" t="s">
        <v>444</v>
      </c>
      <c r="D183" s="0" t="n">
        <v>-3.25461470673333</v>
      </c>
      <c r="E183" s="0" t="n">
        <v>0</v>
      </c>
      <c r="F183" s="0" t="n">
        <v>0.431499999999999</v>
      </c>
      <c r="G183" s="0" t="n">
        <v>4.0166216</v>
      </c>
      <c r="H183" s="0" t="s">
        <v>424</v>
      </c>
      <c r="I183" s="2" t="b">
        <f aca="false">TRUE()</f>
        <v>1</v>
      </c>
      <c r="J183" s="0" t="str">
        <f aca="false">IF(AND(CODE(MID(B183,2,1))&gt;=97,CODE(MID(B183,2,1))&lt;=122),LEFT(B183,2),LEFT(B183,1))</f>
        <v>Ca</v>
      </c>
      <c r="K183" s="0" t="n">
        <f aca="false">IF(J183="","",_xlfn.XLOOKUP(TRIM(J183),Metallic_Radius_Table!A:A,Metallic_Radius_Table!B:B))</f>
        <v>1.97</v>
      </c>
      <c r="L183" s="0" t="str">
        <f aca="false">IF(ISNUMBER(SEARCH("La",B183)),"La",
 IF(ISNUMBER(SEARCH("Nd",B183)),"Nd",
 IF(ISNUMBER(SEARCH("Eu",B183)),"Eu",
 IF(ISNUMBER(SEARCH("Gd",B183)),"Gd",""))))</f>
        <v/>
      </c>
      <c r="M183" s="0" t="str">
        <f aca="false">IF(L183="","",_xlfn.XLOOKUP(TRIM(L183),Metallic_Radius_Table!A:A,Metallic_Radius_Table!B:B))</f>
        <v/>
      </c>
      <c r="N183" s="0" t="str">
        <f aca="false">TRIM(LEFT(C183,FIND(",",C183)-1))</f>
        <v>Ta</v>
      </c>
      <c r="O183" s="3" t="n">
        <f aca="false">IF(N183="","",_xlfn.XLOOKUP(TRIM(N183),Metallic_Radius_Table!A:A,Metallic_Radius_Table!B:B))</f>
        <v>1.46</v>
      </c>
      <c r="P183" s="0" t="str">
        <f aca="false">TRIM(MID(C183,FIND(",",C183)+1,5))</f>
        <v>V</v>
      </c>
      <c r="Q183" s="0" t="n">
        <f aca="false">IF(P183="","",_xlfn.XLOOKUP(TRIM(P183),Metallic_Radius_Table!A:A,Metallic_Radius_Table!B:B))</f>
        <v>1.34</v>
      </c>
      <c r="R183" s="0" t="str">
        <f aca="false">IF(G183&gt;=1,   "Ferromagnetic / Ferrimagnetic",   IF(G183&gt;=0.05,      "Paramagnetic / Weakly magnetic",      "Antiferromagnetic / Diamagnetic"))</f>
        <v>Ferromagnetic / Ferrimagnetic</v>
      </c>
      <c r="U183" s="0" t="str">
        <f aca="false">IF(G183&gt;=1,
   "FM → PM (Curie-type)",
   IF(G183&lt;0.05,
      "AFM → PM (Néel-type)",
      "No long-range magnetic transition"))</f>
        <v>FM → PM (Curie-type)</v>
      </c>
    </row>
    <row r="184" customFormat="false" ht="13.8" hidden="false" customHeight="false" outlineLevel="0" collapsed="false">
      <c r="A184" s="0" t="s">
        <v>445</v>
      </c>
      <c r="B184" s="0" t="s">
        <v>446</v>
      </c>
      <c r="C184" s="0" t="s">
        <v>447</v>
      </c>
      <c r="D184" s="0" t="n">
        <v>-3.03421970973333</v>
      </c>
      <c r="E184" s="0" t="n">
        <v>0.072614909499996</v>
      </c>
      <c r="F184" s="0" t="n">
        <v>2.1053</v>
      </c>
      <c r="G184" s="0" t="n">
        <v>6.0001084</v>
      </c>
      <c r="H184" s="0" t="s">
        <v>352</v>
      </c>
      <c r="I184" s="2" t="b">
        <f aca="false">TRUE()</f>
        <v>1</v>
      </c>
      <c r="J184" s="0" t="str">
        <f aca="false">IF(AND(CODE(MID(B184,2,1))&gt;=97,CODE(MID(B184,2,1))&lt;=122),LEFT(B184,2),LEFT(B184,1))</f>
        <v>Ca</v>
      </c>
      <c r="K184" s="0" t="n">
        <f aca="false">IF(J184="","",_xlfn.XLOOKUP(TRIM(J184),Metallic_Radius_Table!A:A,Metallic_Radius_Table!B:B))</f>
        <v>1.97</v>
      </c>
      <c r="L184" s="0" t="str">
        <f aca="false">IF(ISNUMBER(SEARCH("La",B184)),"La",
 IF(ISNUMBER(SEARCH("Nd",B184)),"Nd",
 IF(ISNUMBER(SEARCH("Eu",B184)),"Eu",
 IF(ISNUMBER(SEARCH("Gd",B184)),"Gd",""))))</f>
        <v/>
      </c>
      <c r="M184" s="0" t="str">
        <f aca="false">IF(L184="","",_xlfn.XLOOKUP(TRIM(L184),Metallic_Radius_Table!A:A,Metallic_Radius_Table!B:B))</f>
        <v/>
      </c>
      <c r="N184" s="0" t="str">
        <f aca="false">TRIM(LEFT(C184,FIND(",",C184)-1))</f>
        <v>Ta</v>
      </c>
      <c r="O184" s="3" t="n">
        <f aca="false">IF(N184="","",_xlfn.XLOOKUP(TRIM(N184),Metallic_Radius_Table!A:A,Metallic_Radius_Table!B:B))</f>
        <v>1.46</v>
      </c>
      <c r="P184" s="0" t="str">
        <f aca="false">TRIM(MID(C184,FIND(",",C184)+1,5))</f>
        <v>W</v>
      </c>
      <c r="Q184" s="0" t="n">
        <f aca="false">IF(P184="","",_xlfn.XLOOKUP(TRIM(P184),Metallic_Radius_Table!A:A,Metallic_Radius_Table!B:B))</f>
        <v>1.41</v>
      </c>
      <c r="R184" s="0" t="str">
        <f aca="false">IF(G184&gt;=1,   "Ferromagnetic / Ferrimagnetic",   IF(G184&gt;=0.05,      "Paramagnetic / Weakly magnetic",      "Antiferromagnetic / Diamagnetic"))</f>
        <v>Ferromagnetic / Ferrimagnetic</v>
      </c>
      <c r="U184" s="0" t="str">
        <f aca="false">IF(G184&gt;=1,
   "FM → PM (Curie-type)",
   IF(G184&lt;0.05,
      "AFM → PM (Néel-type)",
      "No long-range magnetic transition"))</f>
        <v>FM → PM (Curie-type)</v>
      </c>
    </row>
    <row r="185" customFormat="false" ht="13.8" hidden="false" customHeight="false" outlineLevel="0" collapsed="false">
      <c r="A185" s="0" t="s">
        <v>448</v>
      </c>
      <c r="B185" s="0" t="s">
        <v>446</v>
      </c>
      <c r="C185" s="0" t="s">
        <v>447</v>
      </c>
      <c r="D185" s="0" t="n">
        <v>-3.00860780723333</v>
      </c>
      <c r="E185" s="0" t="n">
        <v>0.098226811999994</v>
      </c>
      <c r="F185" s="0" t="n">
        <v>0</v>
      </c>
      <c r="G185" s="0" t="n">
        <v>6.0008775</v>
      </c>
      <c r="H185" s="0" t="s">
        <v>424</v>
      </c>
      <c r="I185" s="2" t="b">
        <f aca="false">TRUE()</f>
        <v>1</v>
      </c>
      <c r="J185" s="0" t="str">
        <f aca="false">IF(AND(CODE(MID(B185,2,1))&gt;=97,CODE(MID(B185,2,1))&lt;=122),LEFT(B185,2),LEFT(B185,1))</f>
        <v>Ca</v>
      </c>
      <c r="K185" s="0" t="n">
        <f aca="false">IF(J185="","",_xlfn.XLOOKUP(TRIM(J185),Metallic_Radius_Table!A:A,Metallic_Radius_Table!B:B))</f>
        <v>1.97</v>
      </c>
      <c r="L185" s="0" t="str">
        <f aca="false">IF(ISNUMBER(SEARCH("La",B185)),"La",
 IF(ISNUMBER(SEARCH("Nd",B185)),"Nd",
 IF(ISNUMBER(SEARCH("Eu",B185)),"Eu",
 IF(ISNUMBER(SEARCH("Gd",B185)),"Gd",""))))</f>
        <v/>
      </c>
      <c r="M185" s="0" t="str">
        <f aca="false">IF(L185="","",_xlfn.XLOOKUP(TRIM(L185),Metallic_Radius_Table!A:A,Metallic_Radius_Table!B:B))</f>
        <v/>
      </c>
      <c r="N185" s="0" t="str">
        <f aca="false">TRIM(LEFT(C185,FIND(",",C185)-1))</f>
        <v>Ta</v>
      </c>
      <c r="O185" s="3" t="n">
        <f aca="false">IF(N185="","",_xlfn.XLOOKUP(TRIM(N185),Metallic_Radius_Table!A:A,Metallic_Radius_Table!B:B))</f>
        <v>1.46</v>
      </c>
      <c r="P185" s="0" t="str">
        <f aca="false">TRIM(MID(C185,FIND(",",C185)+1,5))</f>
        <v>W</v>
      </c>
      <c r="Q185" s="0" t="n">
        <f aca="false">IF(P185="","",_xlfn.XLOOKUP(TRIM(P185),Metallic_Radius_Table!A:A,Metallic_Radius_Table!B:B))</f>
        <v>1.41</v>
      </c>
      <c r="R185" s="0" t="str">
        <f aca="false">IF(G185&gt;=1,   "Ferromagnetic / Ferrimagnetic",   IF(G185&gt;=0.05,      "Paramagnetic / Weakly magnetic",      "Antiferromagnetic / Diamagnetic"))</f>
        <v>Ferromagnetic / Ferrimagnetic</v>
      </c>
      <c r="U185" s="0" t="str">
        <f aca="false">IF(G185&gt;=1,
   "FM → PM (Curie-type)",
   IF(G185&lt;0.05,
      "AFM → PM (Néel-type)",
      "No long-range magnetic transition"))</f>
        <v>FM → PM (Curie-type)</v>
      </c>
    </row>
    <row r="186" customFormat="false" ht="13.8" hidden="false" customHeight="false" outlineLevel="0" collapsed="false">
      <c r="A186" s="0" t="s">
        <v>449</v>
      </c>
      <c r="B186" s="0" t="s">
        <v>446</v>
      </c>
      <c r="C186" s="0" t="s">
        <v>447</v>
      </c>
      <c r="D186" s="0" t="n">
        <v>-3.00570899673333</v>
      </c>
      <c r="E186" s="0" t="n">
        <v>0.101125622499996</v>
      </c>
      <c r="F186" s="0" t="n">
        <v>2.2589</v>
      </c>
      <c r="G186" s="0" t="n">
        <v>3.0000966</v>
      </c>
      <c r="H186" s="0" t="s">
        <v>450</v>
      </c>
      <c r="I186" s="2" t="b">
        <f aca="false">TRUE()</f>
        <v>1</v>
      </c>
      <c r="J186" s="0" t="str">
        <f aca="false">IF(AND(CODE(MID(B186,2,1))&gt;=97,CODE(MID(B186,2,1))&lt;=122),LEFT(B186,2),LEFT(B186,1))</f>
        <v>Ca</v>
      </c>
      <c r="K186" s="0" t="n">
        <f aca="false">IF(J186="","",_xlfn.XLOOKUP(TRIM(J186),Metallic_Radius_Table!A:A,Metallic_Radius_Table!B:B))</f>
        <v>1.97</v>
      </c>
      <c r="L186" s="0" t="str">
        <f aca="false">IF(ISNUMBER(SEARCH("La",B186)),"La",
 IF(ISNUMBER(SEARCH("Nd",B186)),"Nd",
 IF(ISNUMBER(SEARCH("Eu",B186)),"Eu",
 IF(ISNUMBER(SEARCH("Gd",B186)),"Gd",""))))</f>
        <v/>
      </c>
      <c r="M186" s="0" t="str">
        <f aca="false">IF(L186="","",_xlfn.XLOOKUP(TRIM(L186),Metallic_Radius_Table!A:A,Metallic_Radius_Table!B:B))</f>
        <v/>
      </c>
      <c r="N186" s="0" t="str">
        <f aca="false">TRIM(LEFT(C186,FIND(",",C186)-1))</f>
        <v>Ta</v>
      </c>
      <c r="O186" s="3" t="n">
        <f aca="false">IF(N186="","",_xlfn.XLOOKUP(TRIM(N186),Metallic_Radius_Table!A:A,Metallic_Radius_Table!B:B))</f>
        <v>1.46</v>
      </c>
      <c r="P186" s="0" t="str">
        <f aca="false">TRIM(MID(C186,FIND(",",C186)+1,5))</f>
        <v>W</v>
      </c>
      <c r="Q186" s="0" t="n">
        <f aca="false">IF(P186="","",_xlfn.XLOOKUP(TRIM(P186),Metallic_Radius_Table!A:A,Metallic_Radius_Table!B:B))</f>
        <v>1.41</v>
      </c>
      <c r="R186" s="0" t="str">
        <f aca="false">IF(G186&gt;=1,   "Ferromagnetic / Ferrimagnetic",   IF(G186&gt;=0.05,      "Paramagnetic / Weakly magnetic",      "Antiferromagnetic / Diamagnetic"))</f>
        <v>Ferromagnetic / Ferrimagnetic</v>
      </c>
      <c r="U186" s="0" t="str">
        <f aca="false">IF(G186&gt;=1,
   "FM → PM (Curie-type)",
   IF(G186&lt;0.05,
      "AFM → PM (Néel-type)",
      "No long-range magnetic transition"))</f>
        <v>FM → PM (Curie-type)</v>
      </c>
    </row>
    <row r="187" customFormat="false" ht="13.8" hidden="false" customHeight="false" outlineLevel="0" collapsed="false">
      <c r="A187" s="0" t="s">
        <v>451</v>
      </c>
      <c r="B187" s="0" t="s">
        <v>452</v>
      </c>
      <c r="C187" s="0" t="s">
        <v>453</v>
      </c>
      <c r="D187" s="0" t="n">
        <v>-3.08988691783333</v>
      </c>
      <c r="E187" s="0" t="n">
        <v>0.029853680000003</v>
      </c>
      <c r="F187" s="0" t="n">
        <v>1.1492</v>
      </c>
      <c r="G187" s="0" t="n">
        <v>3.9999843</v>
      </c>
      <c r="H187" s="0" t="s">
        <v>352</v>
      </c>
      <c r="I187" s="2" t="b">
        <f aca="false">TRUE()</f>
        <v>1</v>
      </c>
      <c r="J187" s="0" t="str">
        <f aca="false">IF(AND(CODE(MID(B187,2,1))&gt;=97,CODE(MID(B187,2,1))&lt;=122),LEFT(B187,2),LEFT(B187,1))</f>
        <v>Ca</v>
      </c>
      <c r="K187" s="0" t="n">
        <f aca="false">IF(J187="","",_xlfn.XLOOKUP(TRIM(J187),Metallic_Radius_Table!A:A,Metallic_Radius_Table!B:B))</f>
        <v>1.97</v>
      </c>
      <c r="L187" s="0" t="str">
        <f aca="false">IF(ISNUMBER(SEARCH("La",B187)),"La",
 IF(ISNUMBER(SEARCH("Nd",B187)),"Nd",
 IF(ISNUMBER(SEARCH("Eu",B187)),"Eu",
 IF(ISNUMBER(SEARCH("Gd",B187)),"Gd",""))))</f>
        <v/>
      </c>
      <c r="M187" s="0" t="str">
        <f aca="false">IF(L187="","",_xlfn.XLOOKUP(TRIM(L187),Metallic_Radius_Table!A:A,Metallic_Radius_Table!B:B))</f>
        <v/>
      </c>
      <c r="N187" s="0" t="str">
        <f aca="false">TRIM(LEFT(C187,FIND(",",C187)-1))</f>
        <v>Ti</v>
      </c>
      <c r="O187" s="3" t="n">
        <f aca="false">IF(N187="","",_xlfn.XLOOKUP(TRIM(N187),Metallic_Radius_Table!A:A,Metallic_Radius_Table!B:B))</f>
        <v>1.47</v>
      </c>
      <c r="P187" s="0" t="str">
        <f aca="false">TRIM(MID(C187,FIND(",",C187)+1,5))</f>
        <v>Cr</v>
      </c>
      <c r="Q187" s="0" t="n">
        <f aca="false">IF(P187="","",_xlfn.XLOOKUP(TRIM(P187),Metallic_Radius_Table!A:A,Metallic_Radius_Table!B:B))</f>
        <v>1.28</v>
      </c>
      <c r="R187" s="0" t="str">
        <f aca="false">IF(G187&gt;=1,   "Ferromagnetic / Ferrimagnetic",   IF(G187&gt;=0.05,      "Paramagnetic / Weakly magnetic",      "Antiferromagnetic / Diamagnetic"))</f>
        <v>Ferromagnetic / Ferrimagnetic</v>
      </c>
      <c r="U187" s="0" t="str">
        <f aca="false">IF(G187&gt;=1,
   "FM → PM (Curie-type)",
   IF(G187&lt;0.05,
      "AFM → PM (Néel-type)",
      "No long-range magnetic transition"))</f>
        <v>FM → PM (Curie-type)</v>
      </c>
    </row>
    <row r="188" customFormat="false" ht="13.8" hidden="false" customHeight="false" outlineLevel="0" collapsed="false">
      <c r="A188" s="0" t="s">
        <v>454</v>
      </c>
      <c r="B188" s="0" t="s">
        <v>455</v>
      </c>
      <c r="C188" s="0" t="s">
        <v>456</v>
      </c>
      <c r="D188" s="0" t="n">
        <v>-2.81191228433333</v>
      </c>
      <c r="E188" s="0" t="n">
        <v>0.017106052750003</v>
      </c>
      <c r="F188" s="0" t="n">
        <v>0</v>
      </c>
      <c r="G188" s="0" t="n">
        <v>2.0018786</v>
      </c>
      <c r="H188" s="0" t="s">
        <v>352</v>
      </c>
      <c r="I188" s="2" t="b">
        <f aca="false">TRUE()</f>
        <v>1</v>
      </c>
      <c r="J188" s="0" t="str">
        <f aca="false">IF(AND(CODE(MID(B188,2,1))&gt;=97,CODE(MID(B188,2,1))&lt;=122),LEFT(B188,2),LEFT(B188,1))</f>
        <v>Ca</v>
      </c>
      <c r="K188" s="0" t="n">
        <f aca="false">IF(J188="","",_xlfn.XLOOKUP(TRIM(J188),Metallic_Radius_Table!A:A,Metallic_Radius_Table!B:B))</f>
        <v>1.97</v>
      </c>
      <c r="L188" s="0" t="str">
        <f aca="false">IF(ISNUMBER(SEARCH("La",B188)),"La",
 IF(ISNUMBER(SEARCH("Nd",B188)),"Nd",
 IF(ISNUMBER(SEARCH("Eu",B188)),"Eu",
 IF(ISNUMBER(SEARCH("Gd",B188)),"Gd",""))))</f>
        <v/>
      </c>
      <c r="M188" s="0" t="str">
        <f aca="false">IF(L188="","",_xlfn.XLOOKUP(TRIM(L188),Metallic_Radius_Table!A:A,Metallic_Radius_Table!B:B))</f>
        <v/>
      </c>
      <c r="N188" s="0" t="str">
        <f aca="false">TRIM(LEFT(C188,FIND(",",C188)-1))</f>
        <v>Ti</v>
      </c>
      <c r="O188" s="3" t="n">
        <f aca="false">IF(N188="","",_xlfn.XLOOKUP(TRIM(N188),Metallic_Radius_Table!A:A,Metallic_Radius_Table!B:B))</f>
        <v>1.47</v>
      </c>
      <c r="P188" s="0" t="str">
        <f aca="false">TRIM(MID(C188,FIND(",",C188)+1,5))</f>
        <v>Ir</v>
      </c>
      <c r="Q188" s="0" t="n">
        <f aca="false">IF(P188="","",_xlfn.XLOOKUP(TRIM(P188),Metallic_Radius_Table!A:A,Metallic_Radius_Table!B:B))</f>
        <v>1.36</v>
      </c>
      <c r="R188" s="0" t="str">
        <f aca="false">IF(G188&gt;=1,   "Ferromagnetic / Ferrimagnetic",   IF(G188&gt;=0.05,      "Paramagnetic / Weakly magnetic",      "Antiferromagnetic / Diamagnetic"))</f>
        <v>Ferromagnetic / Ferrimagnetic</v>
      </c>
      <c r="U188" s="0" t="str">
        <f aca="false">IF(G188&gt;=1,
   "FM → PM (Curie-type)",
   IF(G188&lt;0.05,
      "AFM → PM (Néel-type)",
      "No long-range magnetic transition"))</f>
        <v>FM → PM (Curie-type)</v>
      </c>
    </row>
    <row r="189" customFormat="false" ht="13.8" hidden="false" customHeight="false" outlineLevel="0" collapsed="false">
      <c r="A189" s="0" t="s">
        <v>457</v>
      </c>
      <c r="B189" s="0" t="s">
        <v>458</v>
      </c>
      <c r="C189" s="0" t="s">
        <v>202</v>
      </c>
      <c r="D189" s="0" t="n">
        <v>-3.02551289537643</v>
      </c>
      <c r="E189" s="0" t="n">
        <v>0.020287187166669</v>
      </c>
      <c r="F189" s="0" t="n">
        <v>0.875</v>
      </c>
      <c r="G189" s="4" t="n">
        <v>1E-007</v>
      </c>
      <c r="H189" s="0" t="s">
        <v>459</v>
      </c>
      <c r="I189" s="2" t="b">
        <f aca="false">TRUE()</f>
        <v>1</v>
      </c>
      <c r="J189" s="0" t="str">
        <f aca="false">IF(AND(CODE(MID(B189,2,1))&gt;=97,CODE(MID(B189,2,1))&lt;=122),LEFT(B189,2),LEFT(B189,1))</f>
        <v>Ca</v>
      </c>
      <c r="K189" s="0" t="n">
        <f aca="false">IF(J189="","",_xlfn.XLOOKUP(TRIM(J189),Metallic_Radius_Table!A:A,Metallic_Radius_Table!B:B))</f>
        <v>1.97</v>
      </c>
      <c r="L189" s="0" t="str">
        <f aca="false">IF(ISNUMBER(SEARCH("La",B189)),"La",
 IF(ISNUMBER(SEARCH("Nd",B189)),"Nd",
 IF(ISNUMBER(SEARCH("Eu",B189)),"Eu",
 IF(ISNUMBER(SEARCH("Gd",B189)),"Gd",""))))</f>
        <v/>
      </c>
      <c r="M189" s="0" t="str">
        <f aca="false">IF(L189="","",_xlfn.XLOOKUP(TRIM(L189),Metallic_Radius_Table!A:A,Metallic_Radius_Table!B:B))</f>
        <v/>
      </c>
      <c r="N189" s="0" t="str">
        <f aca="false">TRIM(LEFT(C189,FIND(",",C189)-1))</f>
        <v>Mn</v>
      </c>
      <c r="O189" s="3" t="n">
        <f aca="false">IF(N189="","",_xlfn.XLOOKUP(TRIM(N189),Metallic_Radius_Table!A:A,Metallic_Radius_Table!B:B))</f>
        <v>1.27</v>
      </c>
      <c r="P189" s="0" t="str">
        <f aca="false">TRIM(MID(C189,FIND(",",C189)+1,5))</f>
        <v>Ti</v>
      </c>
      <c r="Q189" s="0" t="n">
        <f aca="false">IF(P189="","",_xlfn.XLOOKUP(TRIM(P189),Metallic_Radius_Table!A:A,Metallic_Radius_Table!B:B))</f>
        <v>1.47</v>
      </c>
      <c r="R189" s="0" t="str">
        <f aca="false">IF(G189&gt;=1,   "Ferromagnetic / Ferrimagnetic",   IF(G189&gt;=0.05,      "Paramagnetic / Weakly magnetic",      "Antiferromagnetic / Diamagnetic"))</f>
        <v>Antiferromagnetic / Diamagnetic</v>
      </c>
      <c r="U189" s="0" t="str">
        <f aca="false">IF(G189&gt;=1,
   "FM → PM (Curie-type)",
   IF(G189&lt;0.05,
      "AFM → PM (Néel-type)",
      "No long-range magnetic transition"))</f>
        <v>AFM → PM (Néel-type)</v>
      </c>
    </row>
    <row r="190" customFormat="false" ht="13.8" hidden="false" customHeight="false" outlineLevel="0" collapsed="false">
      <c r="A190" s="0" t="s">
        <v>460</v>
      </c>
      <c r="B190" s="0" t="s">
        <v>458</v>
      </c>
      <c r="C190" s="0" t="s">
        <v>202</v>
      </c>
      <c r="D190" s="0" t="n">
        <v>-3.04050740012643</v>
      </c>
      <c r="E190" s="0" t="n">
        <v>0.005292682416669</v>
      </c>
      <c r="F190" s="0" t="n">
        <v>1.947</v>
      </c>
      <c r="G190" s="4" t="n">
        <v>1.8E-006</v>
      </c>
      <c r="H190" s="0" t="s">
        <v>352</v>
      </c>
      <c r="I190" s="2" t="b">
        <f aca="false">TRUE()</f>
        <v>1</v>
      </c>
      <c r="J190" s="0" t="str">
        <f aca="false">IF(AND(CODE(MID(B190,2,1))&gt;=97,CODE(MID(B190,2,1))&lt;=122),LEFT(B190,2),LEFT(B190,1))</f>
        <v>Ca</v>
      </c>
      <c r="K190" s="0" t="n">
        <f aca="false">IF(J190="","",_xlfn.XLOOKUP(TRIM(J190),Metallic_Radius_Table!A:A,Metallic_Radius_Table!B:B))</f>
        <v>1.97</v>
      </c>
      <c r="L190" s="0" t="str">
        <f aca="false">IF(ISNUMBER(SEARCH("La",B190)),"La",
 IF(ISNUMBER(SEARCH("Nd",B190)),"Nd",
 IF(ISNUMBER(SEARCH("Eu",B190)),"Eu",
 IF(ISNUMBER(SEARCH("Gd",B190)),"Gd",""))))</f>
        <v/>
      </c>
      <c r="M190" s="0" t="str">
        <f aca="false">IF(L190="","",_xlfn.XLOOKUP(TRIM(L190),Metallic_Radius_Table!A:A,Metallic_Radius_Table!B:B))</f>
        <v/>
      </c>
      <c r="N190" s="0" t="str">
        <f aca="false">TRIM(LEFT(C190,FIND(",",C190)-1))</f>
        <v>Mn</v>
      </c>
      <c r="O190" s="3" t="n">
        <f aca="false">IF(N190="","",_xlfn.XLOOKUP(TRIM(N190),Metallic_Radius_Table!A:A,Metallic_Radius_Table!B:B))</f>
        <v>1.27</v>
      </c>
      <c r="P190" s="0" t="str">
        <f aca="false">TRIM(MID(C190,FIND(",",C190)+1,5))</f>
        <v>Ti</v>
      </c>
      <c r="Q190" s="0" t="n">
        <f aca="false">IF(P190="","",_xlfn.XLOOKUP(TRIM(P190),Metallic_Radius_Table!A:A,Metallic_Radius_Table!B:B))</f>
        <v>1.47</v>
      </c>
      <c r="R190" s="0" t="str">
        <f aca="false">IF(G190&gt;=1,   "Ferromagnetic / Ferrimagnetic",   IF(G190&gt;=0.05,      "Paramagnetic / Weakly magnetic",      "Antiferromagnetic / Diamagnetic"))</f>
        <v>Antiferromagnetic / Diamagnetic</v>
      </c>
      <c r="U190" s="0" t="str">
        <f aca="false">IF(G190&gt;=1,
   "FM → PM (Curie-type)",
   IF(G190&lt;0.05,
      "AFM → PM (Néel-type)",
      "No long-range magnetic transition"))</f>
        <v>AFM → PM (Néel-type)</v>
      </c>
    </row>
    <row r="191" customFormat="false" ht="13.8" hidden="false" customHeight="false" outlineLevel="0" collapsed="false">
      <c r="A191" s="0" t="s">
        <v>461</v>
      </c>
      <c r="B191" s="0" t="s">
        <v>462</v>
      </c>
      <c r="C191" s="0" t="s">
        <v>463</v>
      </c>
      <c r="D191" s="0" t="n">
        <v>-2.88846236583333</v>
      </c>
      <c r="E191" s="0" t="n">
        <v>0.002925520000021</v>
      </c>
      <c r="F191" s="0" t="n">
        <v>0</v>
      </c>
      <c r="G191" s="0" t="n">
        <v>3.9594791</v>
      </c>
      <c r="H191" s="0" t="s">
        <v>352</v>
      </c>
      <c r="I191" s="2" t="b">
        <f aca="false">TRUE()</f>
        <v>1</v>
      </c>
      <c r="J191" s="0" t="str">
        <f aca="false">IF(AND(CODE(MID(B191,2,1))&gt;=97,CODE(MID(B191,2,1))&lt;=122),LEFT(B191,2),LEFT(B191,1))</f>
        <v>Ca</v>
      </c>
      <c r="K191" s="0" t="n">
        <f aca="false">IF(J191="","",_xlfn.XLOOKUP(TRIM(J191),Metallic_Radius_Table!A:A,Metallic_Radius_Table!B:B))</f>
        <v>1.97</v>
      </c>
      <c r="L191" s="0" t="str">
        <f aca="false">IF(ISNUMBER(SEARCH("La",B191)),"La",
 IF(ISNUMBER(SEARCH("Nd",B191)),"Nd",
 IF(ISNUMBER(SEARCH("Eu",B191)),"Eu",
 IF(ISNUMBER(SEARCH("Gd",B191)),"Gd",""))))</f>
        <v/>
      </c>
      <c r="M191" s="0" t="str">
        <f aca="false">IF(L191="","",_xlfn.XLOOKUP(TRIM(L191),Metallic_Radius_Table!A:A,Metallic_Radius_Table!B:B))</f>
        <v/>
      </c>
      <c r="N191" s="0" t="str">
        <f aca="false">TRIM(LEFT(C191,FIND(",",C191)-1))</f>
        <v>Ti</v>
      </c>
      <c r="O191" s="3" t="n">
        <f aca="false">IF(N191="","",_xlfn.XLOOKUP(TRIM(N191),Metallic_Radius_Table!A:A,Metallic_Radius_Table!B:B))</f>
        <v>1.47</v>
      </c>
      <c r="P191" s="0" t="str">
        <f aca="false">TRIM(MID(C191,FIND(",",C191)+1,5))</f>
        <v>Ru</v>
      </c>
      <c r="Q191" s="0" t="n">
        <f aca="false">IF(P191="","",_xlfn.XLOOKUP(TRIM(P191),Metallic_Radius_Table!A:A,Metallic_Radius_Table!B:B))</f>
        <v>1.34</v>
      </c>
      <c r="R191" s="0" t="str">
        <f aca="false">IF(G191&gt;=1,   "Ferromagnetic / Ferrimagnetic",   IF(G191&gt;=0.05,      "Paramagnetic / Weakly magnetic",      "Antiferromagnetic / Diamagnetic"))</f>
        <v>Ferromagnetic / Ferrimagnetic</v>
      </c>
      <c r="U191" s="0" t="str">
        <f aca="false">IF(G191&gt;=1,
   "FM → PM (Curie-type)",
   IF(G191&lt;0.05,
      "AFM → PM (Néel-type)",
      "No long-range magnetic transition"))</f>
        <v>FM → PM (Curie-type)</v>
      </c>
    </row>
    <row r="192" customFormat="false" ht="13.8" hidden="false" customHeight="false" outlineLevel="0" collapsed="false">
      <c r="A192" s="0" t="s">
        <v>464</v>
      </c>
      <c r="B192" s="0" t="s">
        <v>465</v>
      </c>
      <c r="C192" s="0" t="s">
        <v>466</v>
      </c>
      <c r="D192" s="0" t="n">
        <v>-3.08204899183333</v>
      </c>
      <c r="E192" s="0" t="n">
        <v>0.031877521888885</v>
      </c>
      <c r="F192" s="0" t="n">
        <v>0.3989</v>
      </c>
      <c r="G192" s="0" t="n">
        <v>3.99953209999999</v>
      </c>
      <c r="H192" s="0" t="s">
        <v>352</v>
      </c>
      <c r="I192" s="2" t="b">
        <f aca="false">TRUE()</f>
        <v>1</v>
      </c>
      <c r="J192" s="0" t="str">
        <f aca="false">IF(AND(CODE(MID(B192,2,1))&gt;=97,CODE(MID(B192,2,1))&lt;=122),LEFT(B192,2),LEFT(B192,1))</f>
        <v>Ca</v>
      </c>
      <c r="K192" s="0" t="n">
        <f aca="false">IF(J192="","",_xlfn.XLOOKUP(TRIM(J192),Metallic_Radius_Table!A:A,Metallic_Radius_Table!B:B))</f>
        <v>1.97</v>
      </c>
      <c r="L192" s="0" t="str">
        <f aca="false">IF(ISNUMBER(SEARCH("La",B192)),"La",
 IF(ISNUMBER(SEARCH("Nd",B192)),"Nd",
 IF(ISNUMBER(SEARCH("Eu",B192)),"Eu",
 IF(ISNUMBER(SEARCH("Gd",B192)),"Gd",""))))</f>
        <v/>
      </c>
      <c r="M192" s="0" t="str">
        <f aca="false">IF(L192="","",_xlfn.XLOOKUP(TRIM(L192),Metallic_Radius_Table!A:A,Metallic_Radius_Table!B:B))</f>
        <v/>
      </c>
      <c r="N192" s="0" t="str">
        <f aca="false">TRIM(LEFT(C192,FIND(",",C192)-1))</f>
        <v>Ti</v>
      </c>
      <c r="O192" s="3" t="n">
        <f aca="false">IF(N192="","",_xlfn.XLOOKUP(TRIM(N192),Metallic_Radius_Table!A:A,Metallic_Radius_Table!B:B))</f>
        <v>1.47</v>
      </c>
      <c r="P192" s="0" t="str">
        <f aca="false">TRIM(MID(C192,FIND(",",C192)+1,5))</f>
        <v>W</v>
      </c>
      <c r="Q192" s="0" t="n">
        <f aca="false">IF(P192="","",_xlfn.XLOOKUP(TRIM(P192),Metallic_Radius_Table!A:A,Metallic_Radius_Table!B:B))</f>
        <v>1.41</v>
      </c>
      <c r="R192" s="0" t="str">
        <f aca="false">IF(G192&gt;=1,   "Ferromagnetic / Ferrimagnetic",   IF(G192&gt;=0.05,      "Paramagnetic / Weakly magnetic",      "Antiferromagnetic / Diamagnetic"))</f>
        <v>Ferromagnetic / Ferrimagnetic</v>
      </c>
      <c r="U192" s="0" t="str">
        <f aca="false">IF(G192&gt;=1,
   "FM → PM (Curie-type)",
   IF(G192&lt;0.05,
      "AFM → PM (Néel-type)",
      "No long-range magnetic transition"))</f>
        <v>FM → PM (Curie-type)</v>
      </c>
    </row>
    <row r="193" customFormat="false" ht="13.8" hidden="false" customHeight="false" outlineLevel="0" collapsed="false">
      <c r="A193" s="0" t="s">
        <v>467</v>
      </c>
      <c r="B193" s="0" t="s">
        <v>465</v>
      </c>
      <c r="C193" s="0" t="s">
        <v>466</v>
      </c>
      <c r="D193" s="0" t="n">
        <v>-2.98142942733333</v>
      </c>
      <c r="E193" s="0" t="n">
        <v>0.132497086388884</v>
      </c>
      <c r="F193" s="0" t="n">
        <v>0</v>
      </c>
      <c r="G193" s="0" t="n">
        <v>2.0000631</v>
      </c>
      <c r="H193" s="0" t="s">
        <v>161</v>
      </c>
      <c r="I193" s="2" t="b">
        <f aca="false">TRUE()</f>
        <v>1</v>
      </c>
      <c r="J193" s="0" t="str">
        <f aca="false">IF(AND(CODE(MID(B193,2,1))&gt;=97,CODE(MID(B193,2,1))&lt;=122),LEFT(B193,2),LEFT(B193,1))</f>
        <v>Ca</v>
      </c>
      <c r="K193" s="0" t="n">
        <f aca="false">IF(J193="","",_xlfn.XLOOKUP(TRIM(J193),Metallic_Radius_Table!A:A,Metallic_Radius_Table!B:B))</f>
        <v>1.97</v>
      </c>
      <c r="L193" s="0" t="str">
        <f aca="false">IF(ISNUMBER(SEARCH("La",B193)),"La",
 IF(ISNUMBER(SEARCH("Nd",B193)),"Nd",
 IF(ISNUMBER(SEARCH("Eu",B193)),"Eu",
 IF(ISNUMBER(SEARCH("Gd",B193)),"Gd",""))))</f>
        <v/>
      </c>
      <c r="M193" s="0" t="str">
        <f aca="false">IF(L193="","",_xlfn.XLOOKUP(TRIM(L193),Metallic_Radius_Table!A:A,Metallic_Radius_Table!B:B))</f>
        <v/>
      </c>
      <c r="N193" s="0" t="str">
        <f aca="false">TRIM(LEFT(C193,FIND(",",C193)-1))</f>
        <v>Ti</v>
      </c>
      <c r="O193" s="3" t="n">
        <f aca="false">IF(N193="","",_xlfn.XLOOKUP(TRIM(N193),Metallic_Radius_Table!A:A,Metallic_Radius_Table!B:B))</f>
        <v>1.47</v>
      </c>
      <c r="P193" s="0" t="str">
        <f aca="false">TRIM(MID(C193,FIND(",",C193)+1,5))</f>
        <v>W</v>
      </c>
      <c r="Q193" s="0" t="n">
        <f aca="false">IF(P193="","",_xlfn.XLOOKUP(TRIM(P193),Metallic_Radius_Table!A:A,Metallic_Radius_Table!B:B))</f>
        <v>1.41</v>
      </c>
      <c r="R193" s="0" t="str">
        <f aca="false">IF(G193&gt;=1,   "Ferromagnetic / Ferrimagnetic",   IF(G193&gt;=0.05,      "Paramagnetic / Weakly magnetic",      "Antiferromagnetic / Diamagnetic"))</f>
        <v>Ferromagnetic / Ferrimagnetic</v>
      </c>
      <c r="U193" s="0" t="str">
        <f aca="false">IF(G193&gt;=1,
   "FM → PM (Curie-type)",
   IF(G193&lt;0.05,
      "AFM → PM (Néel-type)",
      "No long-range magnetic transition"))</f>
        <v>FM → PM (Curie-type)</v>
      </c>
    </row>
    <row r="194" customFormat="false" ht="13.8" hidden="false" customHeight="false" outlineLevel="0" collapsed="false">
      <c r="A194" s="0" t="s">
        <v>468</v>
      </c>
      <c r="B194" s="0" t="s">
        <v>469</v>
      </c>
      <c r="C194" s="0" t="s">
        <v>470</v>
      </c>
      <c r="D194" s="0" t="n">
        <v>-2.484801397</v>
      </c>
      <c r="E194" s="0" t="n">
        <v>0.092254102660715</v>
      </c>
      <c r="F194" s="0" t="n">
        <v>0.4312</v>
      </c>
      <c r="G194" s="0" t="n">
        <v>0.0001271</v>
      </c>
      <c r="H194" s="0" t="s">
        <v>352</v>
      </c>
      <c r="I194" s="2" t="b">
        <f aca="false">TRUE()</f>
        <v>1</v>
      </c>
      <c r="J194" s="0" t="str">
        <f aca="false">IF(AND(CODE(MID(B194,2,1))&gt;=97,CODE(MID(B194,2,1))&lt;=122),LEFT(B194,2),LEFT(B194,1))</f>
        <v>Ca</v>
      </c>
      <c r="K194" s="0" t="n">
        <f aca="false">IF(J194="","",_xlfn.XLOOKUP(TRIM(J194),Metallic_Radius_Table!A:A,Metallic_Radius_Table!B:B))</f>
        <v>1.97</v>
      </c>
      <c r="L194" s="0" t="str">
        <f aca="false">IF(ISNUMBER(SEARCH("La",B194)),"La",
 IF(ISNUMBER(SEARCH("Nd",B194)),"Nd",
 IF(ISNUMBER(SEARCH("Eu",B194)),"Eu",
 IF(ISNUMBER(SEARCH("Gd",B194)),"Gd",""))))</f>
        <v/>
      </c>
      <c r="M194" s="0" t="str">
        <f aca="false">IF(L194="","",_xlfn.XLOOKUP(TRIM(L194),Metallic_Radius_Table!A:A,Metallic_Radius_Table!B:B))</f>
        <v/>
      </c>
      <c r="N194" s="0" t="str">
        <f aca="false">TRIM(LEFT(C194,FIND(",",C194)-1))</f>
        <v>Ir</v>
      </c>
      <c r="O194" s="3" t="n">
        <f aca="false">IF(N194="","",_xlfn.XLOOKUP(TRIM(N194),Metallic_Radius_Table!A:A,Metallic_Radius_Table!B:B))</f>
        <v>1.36</v>
      </c>
      <c r="P194" s="0" t="str">
        <f aca="false">TRIM(MID(C194,FIND(",",C194)+1,5))</f>
        <v>V</v>
      </c>
      <c r="Q194" s="0" t="n">
        <f aca="false">IF(P194="","",_xlfn.XLOOKUP(TRIM(P194),Metallic_Radius_Table!A:A,Metallic_Radius_Table!B:B))</f>
        <v>1.34</v>
      </c>
      <c r="R194" s="0" t="str">
        <f aca="false">IF(G194&gt;=1,   "Ferromagnetic / Ferrimagnetic",   IF(G194&gt;=0.05,      "Paramagnetic / Weakly magnetic",      "Antiferromagnetic / Diamagnetic"))</f>
        <v>Antiferromagnetic / Diamagnetic</v>
      </c>
      <c r="U194" s="0" t="str">
        <f aca="false">IF(G194&gt;=1,
   "FM → PM (Curie-type)",
   IF(G194&lt;0.05,
      "AFM → PM (Néel-type)",
      "No long-range magnetic transition"))</f>
        <v>AFM → PM (Néel-type)</v>
      </c>
    </row>
    <row r="195" customFormat="false" ht="13.8" hidden="false" customHeight="false" outlineLevel="0" collapsed="false">
      <c r="A195" s="0" t="s">
        <v>471</v>
      </c>
      <c r="B195" s="0" t="s">
        <v>472</v>
      </c>
      <c r="C195" s="0" t="s">
        <v>245</v>
      </c>
      <c r="D195" s="0" t="n">
        <v>-2.7241696865</v>
      </c>
      <c r="E195" s="0" t="n">
        <v>0.054269493705369</v>
      </c>
      <c r="F195" s="0" t="n">
        <v>0.6962</v>
      </c>
      <c r="G195" s="4" t="n">
        <v>1.34E-005</v>
      </c>
      <c r="H195" s="0" t="s">
        <v>352</v>
      </c>
      <c r="I195" s="2" t="b">
        <f aca="false">TRUE()</f>
        <v>1</v>
      </c>
      <c r="J195" s="0" t="str">
        <f aca="false">IF(AND(CODE(MID(B195,2,1))&gt;=97,CODE(MID(B195,2,1))&lt;=122),LEFT(B195,2),LEFT(B195,1))</f>
        <v>Ca</v>
      </c>
      <c r="K195" s="0" t="n">
        <f aca="false">IF(J195="","",_xlfn.XLOOKUP(TRIM(J195),Metallic_Radius_Table!A:A,Metallic_Radius_Table!B:B))</f>
        <v>1.97</v>
      </c>
      <c r="L195" s="0" t="str">
        <f aca="false">IF(ISNUMBER(SEARCH("La",B195)),"La",
 IF(ISNUMBER(SEARCH("Nd",B195)),"Nd",
 IF(ISNUMBER(SEARCH("Eu",B195)),"Eu",
 IF(ISNUMBER(SEARCH("Gd",B195)),"Gd",""))))</f>
        <v/>
      </c>
      <c r="M195" s="0" t="str">
        <f aca="false">IF(L195="","",_xlfn.XLOOKUP(TRIM(L195),Metallic_Radius_Table!A:A,Metallic_Radius_Table!B:B))</f>
        <v/>
      </c>
      <c r="N195" s="0" t="str">
        <f aca="false">TRIM(LEFT(C195,FIND(",",C195)-1))</f>
        <v>V</v>
      </c>
      <c r="O195" s="3" t="n">
        <f aca="false">IF(N195="","",_xlfn.XLOOKUP(TRIM(N195),Metallic_Radius_Table!A:A,Metallic_Radius_Table!B:B))</f>
        <v>1.34</v>
      </c>
      <c r="P195" s="0" t="str">
        <f aca="false">TRIM(MID(C195,FIND(",",C195)+1,5))</f>
        <v>Mo</v>
      </c>
      <c r="Q195" s="0" t="n">
        <f aca="false">IF(P195="","",_xlfn.XLOOKUP(TRIM(P195),Metallic_Radius_Table!A:A,Metallic_Radius_Table!B:B))</f>
        <v>1.39</v>
      </c>
      <c r="R195" s="0" t="str">
        <f aca="false">IF(G195&gt;=1,   "Ferromagnetic / Ferrimagnetic",   IF(G195&gt;=0.05,      "Paramagnetic / Weakly magnetic",      "Antiferromagnetic / Diamagnetic"))</f>
        <v>Antiferromagnetic / Diamagnetic</v>
      </c>
      <c r="U195" s="0" t="str">
        <f aca="false">IF(G195&gt;=1,
   "FM → PM (Curie-type)",
   IF(G195&lt;0.05,
      "AFM → PM (Néel-type)",
      "No long-range magnetic transition"))</f>
        <v>AFM → PM (Néel-type)</v>
      </c>
    </row>
    <row r="196" customFormat="false" ht="13.8" hidden="false" customHeight="false" outlineLevel="0" collapsed="false">
      <c r="A196" s="0" t="s">
        <v>473</v>
      </c>
      <c r="B196" s="0" t="s">
        <v>474</v>
      </c>
      <c r="C196" s="0" t="s">
        <v>211</v>
      </c>
      <c r="D196" s="0" t="n">
        <v>-2.78954517299999</v>
      </c>
      <c r="E196" s="0" t="n">
        <v>0.050911607958335</v>
      </c>
      <c r="F196" s="0" t="n">
        <v>0.882899999999999</v>
      </c>
      <c r="G196" s="0" t="n">
        <v>3.000141</v>
      </c>
      <c r="H196" s="0" t="s">
        <v>54</v>
      </c>
      <c r="I196" s="2" t="b">
        <f aca="false">TRUE()</f>
        <v>1</v>
      </c>
      <c r="J196" s="0" t="str">
        <f aca="false">IF(AND(CODE(MID(B196,2,1))&gt;=97,CODE(MID(B196,2,1))&lt;=122),LEFT(B196,2),LEFT(B196,1))</f>
        <v>Ca</v>
      </c>
      <c r="K196" s="0" t="n">
        <f aca="false">IF(J196="","",_xlfn.XLOOKUP(TRIM(J196),Metallic_Radius_Table!A:A,Metallic_Radius_Table!B:B))</f>
        <v>1.97</v>
      </c>
      <c r="L196" s="0" t="str">
        <f aca="false">IF(ISNUMBER(SEARCH("La",B196)),"La",
 IF(ISNUMBER(SEARCH("Nd",B196)),"Nd",
 IF(ISNUMBER(SEARCH("Eu",B196)),"Eu",
 IF(ISNUMBER(SEARCH("Gd",B196)),"Gd",""))))</f>
        <v/>
      </c>
      <c r="M196" s="0" t="str">
        <f aca="false">IF(L196="","",_xlfn.XLOOKUP(TRIM(L196),Metallic_Radius_Table!A:A,Metallic_Radius_Table!B:B))</f>
        <v/>
      </c>
      <c r="N196" s="0" t="str">
        <f aca="false">TRIM(LEFT(C196,FIND(",",C196)-1))</f>
        <v>V</v>
      </c>
      <c r="O196" s="3" t="n">
        <f aca="false">IF(N196="","",_xlfn.XLOOKUP(TRIM(N196),Metallic_Radius_Table!A:A,Metallic_Radius_Table!B:B))</f>
        <v>1.34</v>
      </c>
      <c r="P196" s="0" t="str">
        <f aca="false">TRIM(MID(C196,FIND(",",C196)+1,5))</f>
        <v>W</v>
      </c>
      <c r="Q196" s="0" t="n">
        <f aca="false">IF(P196="","",_xlfn.XLOOKUP(TRIM(P196),Metallic_Radius_Table!A:A,Metallic_Radius_Table!B:B))</f>
        <v>1.41</v>
      </c>
      <c r="R196" s="0" t="str">
        <f aca="false">IF(G196&gt;=1,   "Ferromagnetic / Ferrimagnetic",   IF(G196&gt;=0.05,      "Paramagnetic / Weakly magnetic",      "Antiferromagnetic / Diamagnetic"))</f>
        <v>Ferromagnetic / Ferrimagnetic</v>
      </c>
      <c r="U196" s="0" t="str">
        <f aca="false">IF(G196&gt;=1,
   "FM → PM (Curie-type)",
   IF(G196&lt;0.05,
      "AFM → PM (Néel-type)",
      "No long-range magnetic transition"))</f>
        <v>FM → PM (Curie-type)</v>
      </c>
    </row>
    <row r="197" customFormat="false" ht="13.8" hidden="false" customHeight="false" outlineLevel="0" collapsed="false">
      <c r="A197" s="0" t="s">
        <v>475</v>
      </c>
      <c r="B197" s="0" t="s">
        <v>474</v>
      </c>
      <c r="C197" s="0" t="s">
        <v>211</v>
      </c>
      <c r="D197" s="0" t="n">
        <v>-2.7925790935</v>
      </c>
      <c r="E197" s="0" t="n">
        <v>0.047877687458335</v>
      </c>
      <c r="F197" s="0" t="n">
        <v>1.021</v>
      </c>
      <c r="G197" s="4" t="n">
        <v>1.3E-006</v>
      </c>
      <c r="H197" s="0" t="s">
        <v>54</v>
      </c>
      <c r="I197" s="2" t="b">
        <f aca="false">TRUE()</f>
        <v>1</v>
      </c>
      <c r="J197" s="0" t="str">
        <f aca="false">IF(AND(CODE(MID(B197,2,1))&gt;=97,CODE(MID(B197,2,1))&lt;=122),LEFT(B197,2),LEFT(B197,1))</f>
        <v>Ca</v>
      </c>
      <c r="K197" s="0" t="n">
        <f aca="false">IF(J197="","",_xlfn.XLOOKUP(TRIM(J197),Metallic_Radius_Table!A:A,Metallic_Radius_Table!B:B))</f>
        <v>1.97</v>
      </c>
      <c r="L197" s="0" t="str">
        <f aca="false">IF(ISNUMBER(SEARCH("La",B197)),"La",
 IF(ISNUMBER(SEARCH("Nd",B197)),"Nd",
 IF(ISNUMBER(SEARCH("Eu",B197)),"Eu",
 IF(ISNUMBER(SEARCH("Gd",B197)),"Gd",""))))</f>
        <v/>
      </c>
      <c r="M197" s="0" t="str">
        <f aca="false">IF(L197="","",_xlfn.XLOOKUP(TRIM(L197),Metallic_Radius_Table!A:A,Metallic_Radius_Table!B:B))</f>
        <v/>
      </c>
      <c r="N197" s="0" t="str">
        <f aca="false">TRIM(LEFT(C197,FIND(",",C197)-1))</f>
        <v>V</v>
      </c>
      <c r="O197" s="3" t="n">
        <f aca="false">IF(N197="","",_xlfn.XLOOKUP(TRIM(N197),Metallic_Radius_Table!A:A,Metallic_Radius_Table!B:B))</f>
        <v>1.34</v>
      </c>
      <c r="P197" s="0" t="str">
        <f aca="false">TRIM(MID(C197,FIND(",",C197)+1,5))</f>
        <v>W</v>
      </c>
      <c r="Q197" s="0" t="n">
        <f aca="false">IF(P197="","",_xlfn.XLOOKUP(TRIM(P197),Metallic_Radius_Table!A:A,Metallic_Radius_Table!B:B))</f>
        <v>1.41</v>
      </c>
      <c r="R197" s="0" t="str">
        <f aca="false">IF(G197&gt;=1,   "Ferromagnetic / Ferrimagnetic",   IF(G197&gt;=0.05,      "Paramagnetic / Weakly magnetic",      "Antiferromagnetic / Diamagnetic"))</f>
        <v>Antiferromagnetic / Diamagnetic</v>
      </c>
      <c r="U197" s="0" t="str">
        <f aca="false">IF(G197&gt;=1,
   "FM → PM (Curie-type)",
   IF(G197&lt;0.05,
      "AFM → PM (Néel-type)",
      "No long-range magnetic transition"))</f>
        <v>AFM → PM (Néel-type)</v>
      </c>
    </row>
    <row r="198" customFormat="false" ht="13.8" hidden="false" customHeight="false" outlineLevel="0" collapsed="false">
      <c r="A198" s="0" t="s">
        <v>476</v>
      </c>
      <c r="B198" s="0" t="s">
        <v>474</v>
      </c>
      <c r="C198" s="0" t="s">
        <v>211</v>
      </c>
      <c r="D198" s="0" t="n">
        <v>-2.81378807449999</v>
      </c>
      <c r="E198" s="0" t="n">
        <v>0.026668706458334</v>
      </c>
      <c r="F198" s="0" t="n">
        <v>0</v>
      </c>
      <c r="G198" s="4" t="n">
        <v>3.21E-005</v>
      </c>
      <c r="H198" s="0" t="s">
        <v>352</v>
      </c>
      <c r="I198" s="2" t="b">
        <f aca="false">TRUE()</f>
        <v>1</v>
      </c>
      <c r="J198" s="0" t="str">
        <f aca="false">IF(AND(CODE(MID(B198,2,1))&gt;=97,CODE(MID(B198,2,1))&lt;=122),LEFT(B198,2),LEFT(B198,1))</f>
        <v>Ca</v>
      </c>
      <c r="K198" s="0" t="n">
        <f aca="false">IF(J198="","",_xlfn.XLOOKUP(TRIM(J198),Metallic_Radius_Table!A:A,Metallic_Radius_Table!B:B))</f>
        <v>1.97</v>
      </c>
      <c r="L198" s="0" t="str">
        <f aca="false">IF(ISNUMBER(SEARCH("La",B198)),"La",
 IF(ISNUMBER(SEARCH("Nd",B198)),"Nd",
 IF(ISNUMBER(SEARCH("Eu",B198)),"Eu",
 IF(ISNUMBER(SEARCH("Gd",B198)),"Gd",""))))</f>
        <v/>
      </c>
      <c r="M198" s="0" t="str">
        <f aca="false">IF(L198="","",_xlfn.XLOOKUP(TRIM(L198),Metallic_Radius_Table!A:A,Metallic_Radius_Table!B:B))</f>
        <v/>
      </c>
      <c r="N198" s="0" t="str">
        <f aca="false">TRIM(LEFT(C198,FIND(",",C198)-1))</f>
        <v>V</v>
      </c>
      <c r="O198" s="3" t="n">
        <f aca="false">IF(N198="","",_xlfn.XLOOKUP(TRIM(N198),Metallic_Radius_Table!A:A,Metallic_Radius_Table!B:B))</f>
        <v>1.34</v>
      </c>
      <c r="P198" s="0" t="str">
        <f aca="false">TRIM(MID(C198,FIND(",",C198)+1,5))</f>
        <v>W</v>
      </c>
      <c r="Q198" s="0" t="n">
        <f aca="false">IF(P198="","",_xlfn.XLOOKUP(TRIM(P198),Metallic_Radius_Table!A:A,Metallic_Radius_Table!B:B))</f>
        <v>1.41</v>
      </c>
      <c r="R198" s="0" t="str">
        <f aca="false">IF(G198&gt;=1,   "Ferromagnetic / Ferrimagnetic",   IF(G198&gt;=0.05,      "Paramagnetic / Weakly magnetic",      "Antiferromagnetic / Diamagnetic"))</f>
        <v>Antiferromagnetic / Diamagnetic</v>
      </c>
      <c r="U198" s="0" t="str">
        <f aca="false">IF(G198&gt;=1,
   "FM → PM (Curie-type)",
   IF(G198&lt;0.05,
      "AFM → PM (Néel-type)",
      "No long-range magnetic transition"))</f>
        <v>AFM → PM (Néel-type)</v>
      </c>
    </row>
    <row r="199" customFormat="false" ht="13.8" hidden="false" customHeight="false" outlineLevel="0" collapsed="false">
      <c r="A199" s="0" t="s">
        <v>477</v>
      </c>
      <c r="B199" s="0" t="s">
        <v>478</v>
      </c>
      <c r="C199" s="0" t="s">
        <v>479</v>
      </c>
      <c r="D199" s="0" t="n">
        <v>-2.79985233499999</v>
      </c>
      <c r="E199" s="0" t="n">
        <v>0.149494715000002</v>
      </c>
      <c r="F199" s="0" t="n">
        <v>0</v>
      </c>
      <c r="G199" s="0" t="n">
        <v>4.0000008</v>
      </c>
      <c r="H199" s="0" t="s">
        <v>22</v>
      </c>
      <c r="I199" s="2" t="b">
        <f aca="false">TRUE()</f>
        <v>1</v>
      </c>
      <c r="J199" s="0" t="str">
        <f aca="false">IF(AND(CODE(MID(B199,2,1))&gt;=97,CODE(MID(B199,2,1))&lt;=122),LEFT(B199,2),LEFT(B199,1))</f>
        <v>Ca</v>
      </c>
      <c r="K199" s="0" t="n">
        <f aca="false">IF(J199="","",_xlfn.XLOOKUP(TRIM(J199),Metallic_Radius_Table!A:A,Metallic_Radius_Table!B:B))</f>
        <v>1.97</v>
      </c>
      <c r="L199" s="0" t="str">
        <f aca="false">IF(ISNUMBER(SEARCH("La",B199)),"La",
 IF(ISNUMBER(SEARCH("Nd",B199)),"Nd",
 IF(ISNUMBER(SEARCH("Eu",B199)),"Eu",
 IF(ISNUMBER(SEARCH("Gd",B199)),"Gd",""))))</f>
        <v/>
      </c>
      <c r="M199" s="0" t="str">
        <f aca="false">IF(L199="","",_xlfn.XLOOKUP(TRIM(L199),Metallic_Radius_Table!A:A,Metallic_Radius_Table!B:B))</f>
        <v/>
      </c>
      <c r="N199" s="0" t="str">
        <f aca="false">TRIM(LEFT(C199,FIND(",",C199)-1))</f>
        <v>Fe</v>
      </c>
      <c r="O199" s="3" t="n">
        <f aca="false">IF(N199="","",_xlfn.XLOOKUP(TRIM(N199),Metallic_Radius_Table!A:A,Metallic_Radius_Table!B:B))</f>
        <v>1.26</v>
      </c>
      <c r="P199" s="0" t="str">
        <f aca="false">TRIM(MID(C199,FIND(",",C199)+1,5))</f>
        <v>Zr</v>
      </c>
      <c r="Q199" s="0" t="n">
        <f aca="false">IF(P199="","",_xlfn.XLOOKUP(TRIM(P199),Metallic_Radius_Table!A:A,Metallic_Radius_Table!B:B))</f>
        <v>1.6</v>
      </c>
      <c r="R199" s="0" t="str">
        <f aca="false">IF(G199&gt;=1,   "Ferromagnetic / Ferrimagnetic",   IF(G199&gt;=0.05,      "Paramagnetic / Weakly magnetic",      "Antiferromagnetic / Diamagnetic"))</f>
        <v>Ferromagnetic / Ferrimagnetic</v>
      </c>
      <c r="U199" s="0" t="str">
        <f aca="false">IF(G199&gt;=1,
   "FM → PM (Curie-type)",
   IF(G199&lt;0.05,
      "AFM → PM (Néel-type)",
      "No long-range magnetic transition"))</f>
        <v>FM → PM (Curie-type)</v>
      </c>
    </row>
    <row r="200" customFormat="false" ht="13.8" hidden="false" customHeight="false" outlineLevel="0" collapsed="false">
      <c r="A200" s="0" t="s">
        <v>480</v>
      </c>
      <c r="B200" s="0" t="s">
        <v>481</v>
      </c>
      <c r="C200" s="0" t="s">
        <v>482</v>
      </c>
      <c r="D200" s="0" t="n">
        <v>-3.253079747</v>
      </c>
      <c r="E200" s="0" t="n">
        <v>0.189977358624991</v>
      </c>
      <c r="F200" s="0" t="n">
        <v>0</v>
      </c>
      <c r="G200" s="4" t="n">
        <v>2.95E-005</v>
      </c>
      <c r="H200" s="0" t="s">
        <v>22</v>
      </c>
      <c r="I200" s="2" t="b">
        <f aca="false">TRUE()</f>
        <v>1</v>
      </c>
      <c r="J200" s="0" t="str">
        <f aca="false">IF(AND(CODE(MID(B200,2,1))&gt;=97,CODE(MID(B200,2,1))&lt;=122),LEFT(B200,2),LEFT(B200,1))</f>
        <v>Ca</v>
      </c>
      <c r="K200" s="0" t="n">
        <f aca="false">IF(J200="","",_xlfn.XLOOKUP(TRIM(J200),Metallic_Radius_Table!A:A,Metallic_Radius_Table!B:B))</f>
        <v>1.97</v>
      </c>
      <c r="L200" s="0" t="str">
        <f aca="false">IF(ISNUMBER(SEARCH("La",B200)),"La",
 IF(ISNUMBER(SEARCH("Nd",B200)),"Nd",
 IF(ISNUMBER(SEARCH("Eu",B200)),"Eu",
 IF(ISNUMBER(SEARCH("Gd",B200)),"Gd",""))))</f>
        <v/>
      </c>
      <c r="M200" s="0" t="str">
        <f aca="false">IF(L200="","",_xlfn.XLOOKUP(TRIM(L200),Metallic_Radius_Table!A:A,Metallic_Radius_Table!B:B))</f>
        <v/>
      </c>
      <c r="N200" s="0" t="str">
        <f aca="false">TRIM(LEFT(C200,FIND(",",C200)-1))</f>
        <v>Nb</v>
      </c>
      <c r="O200" s="3" t="n">
        <f aca="false">IF(N200="","",_xlfn.XLOOKUP(TRIM(N200),Metallic_Radius_Table!A:A,Metallic_Radius_Table!B:B))</f>
        <v>1.46</v>
      </c>
      <c r="P200" s="0" t="str">
        <f aca="false">TRIM(MID(C200,FIND(",",C200)+1,5))</f>
        <v>Zr</v>
      </c>
      <c r="Q200" s="0" t="n">
        <f aca="false">IF(P200="","",_xlfn.XLOOKUP(TRIM(P200),Metallic_Radius_Table!A:A,Metallic_Radius_Table!B:B))</f>
        <v>1.6</v>
      </c>
      <c r="R200" s="0" t="str">
        <f aca="false">IF(G200&gt;=1,   "Ferromagnetic / Ferrimagnetic",   IF(G200&gt;=0.05,      "Paramagnetic / Weakly magnetic",      "Antiferromagnetic / Diamagnetic"))</f>
        <v>Antiferromagnetic / Diamagnetic</v>
      </c>
      <c r="U200" s="0" t="str">
        <f aca="false">IF(G200&gt;=1,
   "FM → PM (Curie-type)",
   IF(G200&lt;0.05,
      "AFM → PM (Néel-type)",
      "No long-range magnetic transition"))</f>
        <v>AFM → PM (Néel-type)</v>
      </c>
    </row>
    <row r="201" customFormat="false" ht="13.8" hidden="false" customHeight="false" outlineLevel="0" collapsed="false">
      <c r="A201" s="0" t="s">
        <v>483</v>
      </c>
      <c r="B201" s="0" t="s">
        <v>484</v>
      </c>
      <c r="C201" s="0" t="s">
        <v>216</v>
      </c>
      <c r="D201" s="0" t="n">
        <v>-3.47944129033333</v>
      </c>
      <c r="E201" s="0" t="n">
        <v>0.133689823</v>
      </c>
      <c r="F201" s="0" t="n">
        <v>2.39329999999999</v>
      </c>
      <c r="G201" s="0" t="n">
        <v>0</v>
      </c>
      <c r="H201" s="0" t="s">
        <v>22</v>
      </c>
      <c r="I201" s="2" t="b">
        <f aca="false">TRUE()</f>
        <v>1</v>
      </c>
      <c r="J201" s="0" t="str">
        <f aca="false">IF(AND(CODE(MID(B201,2,1))&gt;=97,CODE(MID(B201,2,1))&lt;=122),LEFT(B201,2),LEFT(B201,1))</f>
        <v>Ca</v>
      </c>
      <c r="K201" s="0" t="n">
        <f aca="false">IF(J201="","",_xlfn.XLOOKUP(TRIM(J201),Metallic_Radius_Table!A:A,Metallic_Radius_Table!B:B))</f>
        <v>1.97</v>
      </c>
      <c r="L201" s="0" t="str">
        <f aca="false">IF(ISNUMBER(SEARCH("La",B201)),"La",
 IF(ISNUMBER(SEARCH("Nd",B201)),"Nd",
 IF(ISNUMBER(SEARCH("Eu",B201)),"Eu",
 IF(ISNUMBER(SEARCH("Gd",B201)),"Gd",""))))</f>
        <v/>
      </c>
      <c r="M201" s="0" t="str">
        <f aca="false">IF(L201="","",_xlfn.XLOOKUP(TRIM(L201),Metallic_Radius_Table!A:A,Metallic_Radius_Table!B:B))</f>
        <v/>
      </c>
      <c r="N201" s="0" t="str">
        <f aca="false">TRIM(LEFT(C201,FIND(",",C201)-1))</f>
        <v>Zr</v>
      </c>
      <c r="O201" s="3" t="n">
        <f aca="false">IF(N201="","",_xlfn.XLOOKUP(TRIM(N201),Metallic_Radius_Table!A:A,Metallic_Radius_Table!B:B))</f>
        <v>1.6</v>
      </c>
      <c r="P201" s="0" t="str">
        <f aca="false">TRIM(MID(C201,FIND(",",C201)+1,5))</f>
        <v>Ti</v>
      </c>
      <c r="Q201" s="0" t="n">
        <f aca="false">IF(P201="","",_xlfn.XLOOKUP(TRIM(P201),Metallic_Radius_Table!A:A,Metallic_Radius_Table!B:B))</f>
        <v>1.47</v>
      </c>
      <c r="R201" s="0" t="str">
        <f aca="false">IF(G201&gt;=1,   "Ferromagnetic / Ferrimagnetic",   IF(G201&gt;=0.05,      "Paramagnetic / Weakly magnetic",      "Antiferromagnetic / Diamagnetic"))</f>
        <v>Antiferromagnetic / Diamagnetic</v>
      </c>
      <c r="U201" s="0" t="str">
        <f aca="false">IF(G201&gt;=1,
   "FM → PM (Curie-type)",
   IF(G201&lt;0.05,
      "AFM → PM (Néel-type)",
      "No long-range magnetic transition"))</f>
        <v>AFM → PM (Néel-type)</v>
      </c>
    </row>
    <row r="202" customFormat="false" ht="14.25" hidden="false" customHeight="false" outlineLevel="0" collapsed="false">
      <c r="A202" s="0" t="s">
        <v>485</v>
      </c>
      <c r="B202" s="0" t="s">
        <v>486</v>
      </c>
      <c r="C202" s="0" t="s">
        <v>347</v>
      </c>
      <c r="D202" s="0" t="n">
        <v>-2.36539018795454</v>
      </c>
      <c r="E202" s="0" t="n">
        <v>0.019429934545461</v>
      </c>
      <c r="F202" s="0" t="n">
        <v>0</v>
      </c>
      <c r="G202" s="0" t="n">
        <v>4</v>
      </c>
      <c r="H202" s="0" t="s">
        <v>58</v>
      </c>
      <c r="I202" s="2" t="b">
        <f aca="false">TRUE()</f>
        <v>1</v>
      </c>
      <c r="J202" s="0" t="str">
        <f aca="false">IF(AND(CODE(MID(B202,2,1))&gt;=97,CODE(MID(B202,2,1))&lt;=122),LEFT(B202,2),LEFT(B202,1))</f>
        <v>Ca</v>
      </c>
      <c r="K202" s="0" t="n">
        <f aca="false">IF(J202="","",_xlfn.XLOOKUP(TRIM(J202),Metallic_Radius_Table!A:A,Metallic_Radius_Table!B:B))</f>
        <v>1.97</v>
      </c>
      <c r="L202" s="0" t="str">
        <f aca="false">IF(ISNUMBER(SEARCH("La",B202)),"La",
 IF(ISNUMBER(SEARCH("Nd",B202)),"Nd",
 IF(ISNUMBER(SEARCH("Eu",B202)),"Eu",
 IF(ISNUMBER(SEARCH("Gd",B202)),"Gd",""))))</f>
        <v/>
      </c>
      <c r="M202" s="0" t="str">
        <f aca="false">IF(L202="","",_xlfn.XLOOKUP(TRIM(L202),Metallic_Radius_Table!A:A,Metallic_Radius_Table!B:B))</f>
        <v/>
      </c>
      <c r="N202" s="0" t="str">
        <f aca="false">TRIM(LEFT(C202,FIND(",",C202)-1))</f>
        <v>Co</v>
      </c>
      <c r="O202" s="3" t="n">
        <f aca="false">IF(N202="","",_xlfn.XLOOKUP(TRIM(N202),Metallic_Radius_Table!A:A,Metallic_Radius_Table!B:B))</f>
        <v>1.25</v>
      </c>
      <c r="P202" s="0" t="str">
        <f aca="false">TRIM(MID(C202,FIND(",",C202)+1,5))</f>
        <v>Rh</v>
      </c>
      <c r="Q202" s="0" t="n">
        <f aca="false">IF(P202="","",_xlfn.XLOOKUP(TRIM(P202),Metallic_Radius_Table!A:A,Metallic_Radius_Table!B:B))</f>
        <v>1.34</v>
      </c>
      <c r="R202" s="0" t="str">
        <f aca="false">IF(G202&gt;=1,   "Ferromagnetic / Ferrimagnetic",   IF(G202&gt;=0.05,      "Paramagnetic / Weakly magnetic",      "Antiferromagnetic / Diamagnetic"))</f>
        <v>Ferromagnetic / Ferrimagnetic</v>
      </c>
      <c r="U202" s="0" t="str">
        <f aca="false">IF(G202&gt;=1,
   "FM → PM (Curie-type)",
   IF(G202&lt;0.05,
      "AFM → PM (Néel-type)",
      "No long-range magnetic transition"))</f>
        <v>FM → PM (Curie-type)</v>
      </c>
    </row>
    <row r="203" customFormat="false" ht="14.25" hidden="false" customHeight="false" outlineLevel="0" collapsed="false">
      <c r="A203" s="0" t="s">
        <v>487</v>
      </c>
      <c r="B203" s="0" t="s">
        <v>486</v>
      </c>
      <c r="C203" s="0" t="s">
        <v>347</v>
      </c>
      <c r="D203" s="0" t="n">
        <v>-2.36658837590909</v>
      </c>
      <c r="E203" s="0" t="n">
        <v>0.018231746590915</v>
      </c>
      <c r="F203" s="0" t="n">
        <v>0.024499999999999</v>
      </c>
      <c r="G203" s="0" t="n">
        <v>8.0001022</v>
      </c>
      <c r="H203" s="0" t="s">
        <v>54</v>
      </c>
      <c r="I203" s="2" t="b">
        <f aca="false">TRUE()</f>
        <v>1</v>
      </c>
      <c r="J203" s="0" t="str">
        <f aca="false">IF(AND(CODE(MID(B203,2,1))&gt;=97,CODE(MID(B203,2,1))&lt;=122),LEFT(B203,2),LEFT(B203,1))</f>
        <v>Ca</v>
      </c>
      <c r="K203" s="0" t="n">
        <f aca="false">IF(J203="","",_xlfn.XLOOKUP(TRIM(J203),Metallic_Radius_Table!A:A,Metallic_Radius_Table!B:B))</f>
        <v>1.97</v>
      </c>
      <c r="L203" s="0" t="str">
        <f aca="false">IF(ISNUMBER(SEARCH("La",B203)),"La",
 IF(ISNUMBER(SEARCH("Nd",B203)),"Nd",
 IF(ISNUMBER(SEARCH("Eu",B203)),"Eu",
 IF(ISNUMBER(SEARCH("Gd",B203)),"Gd",""))))</f>
        <v/>
      </c>
      <c r="M203" s="0" t="str">
        <f aca="false">IF(L203="","",_xlfn.XLOOKUP(TRIM(L203),Metallic_Radius_Table!A:A,Metallic_Radius_Table!B:B))</f>
        <v/>
      </c>
      <c r="N203" s="0" t="str">
        <f aca="false">TRIM(LEFT(C203,FIND(",",C203)-1))</f>
        <v>Co</v>
      </c>
      <c r="O203" s="3" t="n">
        <f aca="false">IF(N203="","",_xlfn.XLOOKUP(TRIM(N203),Metallic_Radius_Table!A:A,Metallic_Radius_Table!B:B))</f>
        <v>1.25</v>
      </c>
      <c r="P203" s="0" t="str">
        <f aca="false">TRIM(MID(C203,FIND(",",C203)+1,5))</f>
        <v>Rh</v>
      </c>
      <c r="Q203" s="0" t="n">
        <f aca="false">IF(P203="","",_xlfn.XLOOKUP(TRIM(P203),Metallic_Radius_Table!A:A,Metallic_Radius_Table!B:B))</f>
        <v>1.34</v>
      </c>
      <c r="R203" s="0" t="str">
        <f aca="false">IF(G203&gt;=1,   "Ferromagnetic / Ferrimagnetic",   IF(G203&gt;=0.05,      "Paramagnetic / Weakly magnetic",      "Antiferromagnetic / Diamagnetic"))</f>
        <v>Ferromagnetic / Ferrimagnetic</v>
      </c>
      <c r="U203" s="0" t="str">
        <f aca="false">IF(G203&gt;=1,
   "FM → PM (Curie-type)",
   IF(G203&lt;0.05,
      "AFM → PM (Néel-type)",
      "No long-range magnetic transition"))</f>
        <v>FM → PM (Curie-type)</v>
      </c>
    </row>
    <row r="204" customFormat="false" ht="14.25" hidden="false" customHeight="false" outlineLevel="0" collapsed="false">
      <c r="A204" s="0" t="s">
        <v>488</v>
      </c>
      <c r="B204" s="0" t="s">
        <v>486</v>
      </c>
      <c r="C204" s="0" t="s">
        <v>347</v>
      </c>
      <c r="D204" s="0" t="n">
        <v>-2.3656653290909</v>
      </c>
      <c r="E204" s="0" t="n">
        <v>0.019154793409096</v>
      </c>
      <c r="F204" s="0" t="n">
        <v>0</v>
      </c>
      <c r="G204" s="0" t="n">
        <v>4.0385332</v>
      </c>
      <c r="H204" s="0" t="s">
        <v>58</v>
      </c>
      <c r="I204" s="2" t="b">
        <f aca="false">TRUE()</f>
        <v>1</v>
      </c>
      <c r="J204" s="0" t="str">
        <f aca="false">IF(AND(CODE(MID(B204,2,1))&gt;=97,CODE(MID(B204,2,1))&lt;=122),LEFT(B204,2),LEFT(B204,1))</f>
        <v>Ca</v>
      </c>
      <c r="K204" s="0" t="n">
        <f aca="false">IF(J204="","",_xlfn.XLOOKUP(TRIM(J204),Metallic_Radius_Table!A:A,Metallic_Radius_Table!B:B))</f>
        <v>1.97</v>
      </c>
      <c r="L204" s="0" t="str">
        <f aca="false">IF(ISNUMBER(SEARCH("La",B204)),"La",
 IF(ISNUMBER(SEARCH("Nd",B204)),"Nd",
 IF(ISNUMBER(SEARCH("Eu",B204)),"Eu",
 IF(ISNUMBER(SEARCH("Gd",B204)),"Gd",""))))</f>
        <v/>
      </c>
      <c r="M204" s="0" t="str">
        <f aca="false">IF(L204="","",_xlfn.XLOOKUP(TRIM(L204),Metallic_Radius_Table!A:A,Metallic_Radius_Table!B:B))</f>
        <v/>
      </c>
      <c r="N204" s="0" t="str">
        <f aca="false">TRIM(LEFT(C204,FIND(",",C204)-1))</f>
        <v>Co</v>
      </c>
      <c r="O204" s="3" t="n">
        <f aca="false">IF(N204="","",_xlfn.XLOOKUP(TRIM(N204),Metallic_Radius_Table!A:A,Metallic_Radius_Table!B:B))</f>
        <v>1.25</v>
      </c>
      <c r="P204" s="0" t="str">
        <f aca="false">TRIM(MID(C204,FIND(",",C204)+1,5))</f>
        <v>Rh</v>
      </c>
      <c r="Q204" s="0" t="n">
        <f aca="false">IF(P204="","",_xlfn.XLOOKUP(TRIM(P204),Metallic_Radius_Table!A:A,Metallic_Radius_Table!B:B))</f>
        <v>1.34</v>
      </c>
      <c r="R204" s="0" t="str">
        <f aca="false">IF(G204&gt;=1,   "Ferromagnetic / Ferrimagnetic",   IF(G204&gt;=0.05,      "Paramagnetic / Weakly magnetic",      "Antiferromagnetic / Diamagnetic"))</f>
        <v>Ferromagnetic / Ferrimagnetic</v>
      </c>
      <c r="U204" s="0" t="str">
        <f aca="false">IF(G204&gt;=1,
   "FM → PM (Curie-type)",
   IF(G204&lt;0.05,
      "AFM → PM (Néel-type)",
      "No long-range magnetic transition"))</f>
        <v>FM → PM (Curie-type)</v>
      </c>
    </row>
    <row r="205" customFormat="false" ht="14.25" hidden="false" customHeight="false" outlineLevel="0" collapsed="false">
      <c r="A205" s="0" t="s">
        <v>489</v>
      </c>
      <c r="B205" s="0" t="s">
        <v>486</v>
      </c>
      <c r="C205" s="0" t="s">
        <v>347</v>
      </c>
      <c r="D205" s="0" t="n">
        <v>-2.36578515477272</v>
      </c>
      <c r="E205" s="0" t="n">
        <v>0.019034967727278</v>
      </c>
      <c r="F205" s="0" t="n">
        <v>0</v>
      </c>
      <c r="G205" s="0" t="n">
        <v>0.0463643</v>
      </c>
      <c r="H205" s="0" t="s">
        <v>58</v>
      </c>
      <c r="I205" s="2" t="b">
        <f aca="false">TRUE()</f>
        <v>1</v>
      </c>
      <c r="J205" s="0" t="str">
        <f aca="false">IF(AND(CODE(MID(B205,2,1))&gt;=97,CODE(MID(B205,2,1))&lt;=122),LEFT(B205,2),LEFT(B205,1))</f>
        <v>Ca</v>
      </c>
      <c r="K205" s="0" t="n">
        <f aca="false">IF(J205="","",_xlfn.XLOOKUP(TRIM(J205),Metallic_Radius_Table!A:A,Metallic_Radius_Table!B:B))</f>
        <v>1.97</v>
      </c>
      <c r="L205" s="0" t="str">
        <f aca="false">IF(ISNUMBER(SEARCH("La",B205)),"La",
 IF(ISNUMBER(SEARCH("Nd",B205)),"Nd",
 IF(ISNUMBER(SEARCH("Eu",B205)),"Eu",
 IF(ISNUMBER(SEARCH("Gd",B205)),"Gd",""))))</f>
        <v/>
      </c>
      <c r="M205" s="0" t="str">
        <f aca="false">IF(L205="","",_xlfn.XLOOKUP(TRIM(L205),Metallic_Radius_Table!A:A,Metallic_Radius_Table!B:B))</f>
        <v/>
      </c>
      <c r="N205" s="0" t="str">
        <f aca="false">TRIM(LEFT(C205,FIND(",",C205)-1))</f>
        <v>Co</v>
      </c>
      <c r="O205" s="3" t="n">
        <f aca="false">IF(N205="","",_xlfn.XLOOKUP(TRIM(N205),Metallic_Radius_Table!A:A,Metallic_Radius_Table!B:B))</f>
        <v>1.25</v>
      </c>
      <c r="P205" s="0" t="str">
        <f aca="false">TRIM(MID(C205,FIND(",",C205)+1,5))</f>
        <v>Rh</v>
      </c>
      <c r="Q205" s="0" t="n">
        <f aca="false">IF(P205="","",_xlfn.XLOOKUP(TRIM(P205),Metallic_Radius_Table!A:A,Metallic_Radius_Table!B:B))</f>
        <v>1.34</v>
      </c>
      <c r="R205" s="0" t="str">
        <f aca="false">IF(G205&gt;=1,   "Ferromagnetic / Ferrimagnetic",   IF(G205&gt;=0.05,      "Paramagnetic / Weakly magnetic",      "Antiferromagnetic / Diamagnetic"))</f>
        <v>Antiferromagnetic / Diamagnetic</v>
      </c>
      <c r="U205" s="0" t="str">
        <f aca="false">IF(G205&gt;=1,
   "FM → PM (Curie-type)",
   IF(G205&lt;0.05,
      "AFM → PM (Néel-type)",
      "No long-range magnetic transition"))</f>
        <v>AFM → PM (Néel-type)</v>
      </c>
    </row>
    <row r="206" customFormat="false" ht="14.25" hidden="false" customHeight="false" outlineLevel="0" collapsed="false">
      <c r="A206" s="0" t="s">
        <v>490</v>
      </c>
      <c r="B206" s="0" t="s">
        <v>486</v>
      </c>
      <c r="C206" s="0" t="s">
        <v>347</v>
      </c>
      <c r="D206" s="0" t="n">
        <v>-2.36637120431818</v>
      </c>
      <c r="E206" s="0" t="n">
        <v>0.018448918181825</v>
      </c>
      <c r="F206" s="0" t="n">
        <v>0.2555</v>
      </c>
      <c r="G206" s="0" t="n">
        <v>0.0029689</v>
      </c>
      <c r="H206" s="0" t="s">
        <v>58</v>
      </c>
      <c r="I206" s="2" t="b">
        <f aca="false">TRUE()</f>
        <v>1</v>
      </c>
      <c r="J206" s="0" t="str">
        <f aca="false">IF(AND(CODE(MID(B206,2,1))&gt;=97,CODE(MID(B206,2,1))&lt;=122),LEFT(B206,2),LEFT(B206,1))</f>
        <v>Ca</v>
      </c>
      <c r="K206" s="0" t="n">
        <f aca="false">IF(J206="","",_xlfn.XLOOKUP(TRIM(J206),Metallic_Radius_Table!A:A,Metallic_Radius_Table!B:B))</f>
        <v>1.97</v>
      </c>
      <c r="L206" s="0" t="str">
        <f aca="false">IF(ISNUMBER(SEARCH("La",B206)),"La",
 IF(ISNUMBER(SEARCH("Nd",B206)),"Nd",
 IF(ISNUMBER(SEARCH("Eu",B206)),"Eu",
 IF(ISNUMBER(SEARCH("Gd",B206)),"Gd",""))))</f>
        <v/>
      </c>
      <c r="M206" s="0" t="str">
        <f aca="false">IF(L206="","",_xlfn.XLOOKUP(TRIM(L206),Metallic_Radius_Table!A:A,Metallic_Radius_Table!B:B))</f>
        <v/>
      </c>
      <c r="N206" s="0" t="str">
        <f aca="false">TRIM(LEFT(C206,FIND(",",C206)-1))</f>
        <v>Co</v>
      </c>
      <c r="O206" s="3" t="n">
        <f aca="false">IF(N206="","",_xlfn.XLOOKUP(TRIM(N206),Metallic_Radius_Table!A:A,Metallic_Radius_Table!B:B))</f>
        <v>1.25</v>
      </c>
      <c r="P206" s="0" t="str">
        <f aca="false">TRIM(MID(C206,FIND(",",C206)+1,5))</f>
        <v>Rh</v>
      </c>
      <c r="Q206" s="0" t="n">
        <f aca="false">IF(P206="","",_xlfn.XLOOKUP(TRIM(P206),Metallic_Radius_Table!A:A,Metallic_Radius_Table!B:B))</f>
        <v>1.34</v>
      </c>
      <c r="R206" s="0" t="str">
        <f aca="false">IF(G206&gt;=1,   "Ferromagnetic / Ferrimagnetic",   IF(G206&gt;=0.05,      "Paramagnetic / Weakly magnetic",      "Antiferromagnetic / Diamagnetic"))</f>
        <v>Antiferromagnetic / Diamagnetic</v>
      </c>
      <c r="U206" s="0" t="str">
        <f aca="false">IF(G206&gt;=1,
   "FM → PM (Curie-type)",
   IF(G206&lt;0.05,
      "AFM → PM (Néel-type)",
      "No long-range magnetic transition"))</f>
        <v>AFM → PM (Néel-type)</v>
      </c>
    </row>
    <row r="207" customFormat="false" ht="14.25" hidden="false" customHeight="false" outlineLevel="0" collapsed="false">
      <c r="A207" s="0" t="s">
        <v>491</v>
      </c>
      <c r="B207" s="0" t="s">
        <v>486</v>
      </c>
      <c r="C207" s="0" t="s">
        <v>347</v>
      </c>
      <c r="D207" s="0" t="n">
        <v>-2.32800403636363</v>
      </c>
      <c r="E207" s="0" t="n">
        <v>0.056816086136369</v>
      </c>
      <c r="F207" s="0" t="n">
        <v>0.760399999999999</v>
      </c>
      <c r="G207" s="0" t="n">
        <v>8.0017292</v>
      </c>
      <c r="H207" s="0" t="s">
        <v>492</v>
      </c>
      <c r="I207" s="2" t="b">
        <f aca="false">TRUE()</f>
        <v>1</v>
      </c>
      <c r="J207" s="0" t="str">
        <f aca="false">IF(AND(CODE(MID(B207,2,1))&gt;=97,CODE(MID(B207,2,1))&lt;=122),LEFT(B207,2),LEFT(B207,1))</f>
        <v>Ca</v>
      </c>
      <c r="K207" s="0" t="n">
        <f aca="false">IF(J207="","",_xlfn.XLOOKUP(TRIM(J207),Metallic_Radius_Table!A:A,Metallic_Radius_Table!B:B))</f>
        <v>1.97</v>
      </c>
      <c r="L207" s="0" t="str">
        <f aca="false">IF(ISNUMBER(SEARCH("La",B207)),"La",
 IF(ISNUMBER(SEARCH("Nd",B207)),"Nd",
 IF(ISNUMBER(SEARCH("Eu",B207)),"Eu",
 IF(ISNUMBER(SEARCH("Gd",B207)),"Gd",""))))</f>
        <v/>
      </c>
      <c r="M207" s="0" t="str">
        <f aca="false">IF(L207="","",_xlfn.XLOOKUP(TRIM(L207),Metallic_Radius_Table!A:A,Metallic_Radius_Table!B:B))</f>
        <v/>
      </c>
      <c r="N207" s="0" t="str">
        <f aca="false">TRIM(LEFT(C207,FIND(",",C207)-1))</f>
        <v>Co</v>
      </c>
      <c r="O207" s="3" t="n">
        <f aca="false">IF(N207="","",_xlfn.XLOOKUP(TRIM(N207),Metallic_Radius_Table!A:A,Metallic_Radius_Table!B:B))</f>
        <v>1.25</v>
      </c>
      <c r="P207" s="0" t="str">
        <f aca="false">TRIM(MID(C207,FIND(",",C207)+1,5))</f>
        <v>Rh</v>
      </c>
      <c r="Q207" s="0" t="n">
        <f aca="false">IF(P207="","",_xlfn.XLOOKUP(TRIM(P207),Metallic_Radius_Table!A:A,Metallic_Radius_Table!B:B))</f>
        <v>1.34</v>
      </c>
      <c r="R207" s="0" t="str">
        <f aca="false">IF(G207&gt;=1,   "Ferromagnetic / Ferrimagnetic",   IF(G207&gt;=0.05,      "Paramagnetic / Weakly magnetic",      "Antiferromagnetic / Diamagnetic"))</f>
        <v>Ferromagnetic / Ferrimagnetic</v>
      </c>
      <c r="U207" s="0" t="str">
        <f aca="false">IF(G207&gt;=1,
   "FM → PM (Curie-type)",
   IF(G207&lt;0.05,
      "AFM → PM (Néel-type)",
      "No long-range magnetic transition"))</f>
        <v>FM → PM (Curie-type)</v>
      </c>
    </row>
    <row r="208" customFormat="false" ht="14.25" hidden="false" customHeight="false" outlineLevel="0" collapsed="false">
      <c r="A208" s="0" t="s">
        <v>493</v>
      </c>
      <c r="B208" s="0" t="s">
        <v>494</v>
      </c>
      <c r="C208" s="0" t="s">
        <v>495</v>
      </c>
      <c r="D208" s="0" t="n">
        <v>-2.46065435681818</v>
      </c>
      <c r="E208" s="0" t="n">
        <v>0.016226191250008</v>
      </c>
      <c r="F208" s="0" t="n">
        <v>0.8859</v>
      </c>
      <c r="G208" s="4" t="n">
        <v>2E-006</v>
      </c>
      <c r="H208" s="0" t="s">
        <v>492</v>
      </c>
      <c r="I208" s="2" t="b">
        <f aca="false">TRUE()</f>
        <v>1</v>
      </c>
      <c r="J208" s="0" t="str">
        <f aca="false">IF(AND(CODE(MID(B208,2,1))&gt;=97,CODE(MID(B208,2,1))&lt;=122),LEFT(B208,2),LEFT(B208,1))</f>
        <v>Ca</v>
      </c>
      <c r="K208" s="0" t="n">
        <f aca="false">IF(J208="","",_xlfn.XLOOKUP(TRIM(J208),Metallic_Radius_Table!A:A,Metallic_Radius_Table!B:B))</f>
        <v>1.97</v>
      </c>
      <c r="L208" s="0" t="str">
        <f aca="false">IF(ISNUMBER(SEARCH("La",B208)),"La",
 IF(ISNUMBER(SEARCH("Nd",B208)),"Nd",
 IF(ISNUMBER(SEARCH("Eu",B208)),"Eu",
 IF(ISNUMBER(SEARCH("Gd",B208)),"Gd",""))))</f>
        <v/>
      </c>
      <c r="M208" s="0" t="str">
        <f aca="false">IF(L208="","",_xlfn.XLOOKUP(TRIM(L208),Metallic_Radius_Table!A:A,Metallic_Radius_Table!B:B))</f>
        <v/>
      </c>
      <c r="N208" s="0" t="str">
        <f aca="false">TRIM(LEFT(C208,FIND(",",C208)-1))</f>
        <v>Fe</v>
      </c>
      <c r="O208" s="3" t="n">
        <f aca="false">IF(N208="","",_xlfn.XLOOKUP(TRIM(N208),Metallic_Radius_Table!A:A,Metallic_Radius_Table!B:B))</f>
        <v>1.26</v>
      </c>
      <c r="P208" s="0" t="str">
        <f aca="false">TRIM(MID(C208,FIND(",",C208)+1,5))</f>
        <v>Rh</v>
      </c>
      <c r="Q208" s="0" t="n">
        <f aca="false">IF(P208="","",_xlfn.XLOOKUP(TRIM(P208),Metallic_Radius_Table!A:A,Metallic_Radius_Table!B:B))</f>
        <v>1.34</v>
      </c>
      <c r="R208" s="0" t="str">
        <f aca="false">IF(G208&gt;=1,   "Ferromagnetic / Ferrimagnetic",   IF(G208&gt;=0.05,      "Paramagnetic / Weakly magnetic",      "Antiferromagnetic / Diamagnetic"))</f>
        <v>Antiferromagnetic / Diamagnetic</v>
      </c>
      <c r="U208" s="0" t="str">
        <f aca="false">IF(G208&gt;=1,
   "FM → PM (Curie-type)",
   IF(G208&lt;0.05,
      "AFM → PM (Néel-type)",
      "No long-range magnetic transition"))</f>
        <v>AFM → PM (Néel-type)</v>
      </c>
    </row>
    <row r="209" customFormat="false" ht="14.25" hidden="false" customHeight="false" outlineLevel="0" collapsed="false">
      <c r="A209" s="0" t="s">
        <v>496</v>
      </c>
      <c r="B209" s="0" t="s">
        <v>497</v>
      </c>
      <c r="C209" s="0" t="s">
        <v>498</v>
      </c>
      <c r="D209" s="0" t="n">
        <v>-2.60747788526645</v>
      </c>
      <c r="E209" s="0" t="n">
        <v>0</v>
      </c>
      <c r="F209" s="0" t="n">
        <v>2.1034</v>
      </c>
      <c r="G209" s="0" t="n">
        <v>0.0046606</v>
      </c>
      <c r="H209" s="0" t="s">
        <v>58</v>
      </c>
      <c r="I209" s="2" t="b">
        <f aca="false">TRUE()</f>
        <v>1</v>
      </c>
      <c r="J209" s="0" t="str">
        <f aca="false">IF(AND(CODE(MID(B209,2,1))&gt;=97,CODE(MID(B209,2,1))&lt;=122),LEFT(B209,2),LEFT(B209,1))</f>
        <v>Ca</v>
      </c>
      <c r="K209" s="0" t="n">
        <f aca="false">IF(J209="","",_xlfn.XLOOKUP(TRIM(J209),Metallic_Radius_Table!A:A,Metallic_Radius_Table!B:B))</f>
        <v>1.97</v>
      </c>
      <c r="L209" s="0" t="str">
        <f aca="false">IF(ISNUMBER(SEARCH("La",B209)),"La",
 IF(ISNUMBER(SEARCH("Nd",B209)),"Nd",
 IF(ISNUMBER(SEARCH("Eu",B209)),"Eu",
 IF(ISNUMBER(SEARCH("Gd",B209)),"Gd",""))))</f>
        <v/>
      </c>
      <c r="M209" s="0" t="str">
        <f aca="false">IF(L209="","",_xlfn.XLOOKUP(TRIM(L209),Metallic_Radius_Table!A:A,Metallic_Radius_Table!B:B))</f>
        <v/>
      </c>
      <c r="N209" s="0" t="str">
        <f aca="false">TRIM(LEFT(C209,FIND(",",C209)-1))</f>
        <v>Co</v>
      </c>
      <c r="O209" s="3" t="n">
        <f aca="false">IF(N209="","",_xlfn.XLOOKUP(TRIM(N209),Metallic_Radius_Table!A:A,Metallic_Radius_Table!B:B))</f>
        <v>1.25</v>
      </c>
      <c r="P209" s="0" t="str">
        <f aca="false">TRIM(MID(C209,FIND(",",C209)+1,5))</f>
        <v>Mn</v>
      </c>
      <c r="Q209" s="0" t="n">
        <f aca="false">IF(P209="","",_xlfn.XLOOKUP(TRIM(P209),Metallic_Radius_Table!A:A,Metallic_Radius_Table!B:B))</f>
        <v>1.27</v>
      </c>
      <c r="R209" s="0" t="str">
        <f aca="false">IF(G209&gt;=1,   "Ferromagnetic / Ferrimagnetic",   IF(G209&gt;=0.05,      "Paramagnetic / Weakly magnetic",      "Antiferromagnetic / Diamagnetic"))</f>
        <v>Antiferromagnetic / Diamagnetic</v>
      </c>
      <c r="U209" s="0" t="str">
        <f aca="false">IF(G209&gt;=1,
   "FM → PM (Curie-type)",
   IF(G209&lt;0.05,
      "AFM → PM (Néel-type)",
      "No long-range magnetic transition"))</f>
        <v>AFM → PM (Néel-type)</v>
      </c>
    </row>
    <row r="210" customFormat="false" ht="14.25" hidden="false" customHeight="false" outlineLevel="0" collapsed="false">
      <c r="A210" s="0" t="s">
        <v>499</v>
      </c>
      <c r="B210" s="0" t="s">
        <v>497</v>
      </c>
      <c r="C210" s="0" t="s">
        <v>498</v>
      </c>
      <c r="D210" s="0" t="n">
        <v>-2.60746227708463</v>
      </c>
      <c r="E210" s="4" t="n">
        <v>1.56081818181164E-005</v>
      </c>
      <c r="F210" s="0" t="n">
        <v>0.442099999999999</v>
      </c>
      <c r="G210" s="0" t="n">
        <v>0.0055613</v>
      </c>
      <c r="H210" s="0" t="s">
        <v>58</v>
      </c>
      <c r="I210" s="2" t="b">
        <f aca="false">TRUE()</f>
        <v>1</v>
      </c>
      <c r="J210" s="0" t="str">
        <f aca="false">IF(AND(CODE(MID(B210,2,1))&gt;=97,CODE(MID(B210,2,1))&lt;=122),LEFT(B210,2),LEFT(B210,1))</f>
        <v>Ca</v>
      </c>
      <c r="K210" s="0" t="n">
        <f aca="false">IF(J210="","",_xlfn.XLOOKUP(TRIM(J210),Metallic_Radius_Table!A:A,Metallic_Radius_Table!B:B))</f>
        <v>1.97</v>
      </c>
      <c r="L210" s="0" t="str">
        <f aca="false">IF(ISNUMBER(SEARCH("La",B210)),"La",
 IF(ISNUMBER(SEARCH("Nd",B210)),"Nd",
 IF(ISNUMBER(SEARCH("Eu",B210)),"Eu",
 IF(ISNUMBER(SEARCH("Gd",B210)),"Gd",""))))</f>
        <v/>
      </c>
      <c r="M210" s="0" t="str">
        <f aca="false">IF(L210="","",_xlfn.XLOOKUP(TRIM(L210),Metallic_Radius_Table!A:A,Metallic_Radius_Table!B:B))</f>
        <v/>
      </c>
      <c r="N210" s="0" t="str">
        <f aca="false">TRIM(LEFT(C210,FIND(",",C210)-1))</f>
        <v>Co</v>
      </c>
      <c r="O210" s="3" t="n">
        <f aca="false">IF(N210="","",_xlfn.XLOOKUP(TRIM(N210),Metallic_Radius_Table!A:A,Metallic_Radius_Table!B:B))</f>
        <v>1.25</v>
      </c>
      <c r="P210" s="0" t="str">
        <f aca="false">TRIM(MID(C210,FIND(",",C210)+1,5))</f>
        <v>Mn</v>
      </c>
      <c r="Q210" s="0" t="n">
        <f aca="false">IF(P210="","",_xlfn.XLOOKUP(TRIM(P210),Metallic_Radius_Table!A:A,Metallic_Radius_Table!B:B))</f>
        <v>1.27</v>
      </c>
      <c r="R210" s="0" t="str">
        <f aca="false">IF(G210&gt;=1,   "Ferromagnetic / Ferrimagnetic",   IF(G210&gt;=0.05,      "Paramagnetic / Weakly magnetic",      "Antiferromagnetic / Diamagnetic"))</f>
        <v>Antiferromagnetic / Diamagnetic</v>
      </c>
      <c r="U210" s="0" t="str">
        <f aca="false">IF(G210&gt;=1,
   "FM → PM (Curie-type)",
   IF(G210&lt;0.05,
      "AFM → PM (Néel-type)",
      "No long-range magnetic transition"))</f>
        <v>AFM → PM (Néel-type)</v>
      </c>
    </row>
    <row r="211" customFormat="false" ht="14.25" hidden="false" customHeight="false" outlineLevel="0" collapsed="false">
      <c r="A211" s="0" t="s">
        <v>500</v>
      </c>
      <c r="B211" s="0" t="s">
        <v>501</v>
      </c>
      <c r="C211" s="0" t="s">
        <v>396</v>
      </c>
      <c r="D211" s="0" t="n">
        <v>-2.57526185935736</v>
      </c>
      <c r="E211" s="0" t="n">
        <v>0.00090297787879</v>
      </c>
      <c r="F211" s="0" t="n">
        <v>0</v>
      </c>
      <c r="G211" s="0" t="n">
        <v>1.9988883</v>
      </c>
      <c r="H211" s="0" t="s">
        <v>492</v>
      </c>
      <c r="I211" s="2" t="b">
        <f aca="false">TRUE()</f>
        <v>1</v>
      </c>
      <c r="J211" s="0" t="str">
        <f aca="false">IF(AND(CODE(MID(B211,2,1))&gt;=97,CODE(MID(B211,2,1))&lt;=122),LEFT(B211,2),LEFT(B211,1))</f>
        <v>Ca</v>
      </c>
      <c r="K211" s="0" t="n">
        <f aca="false">IF(J211="","",_xlfn.XLOOKUP(TRIM(J211),Metallic_Radius_Table!A:A,Metallic_Radius_Table!B:B))</f>
        <v>1.97</v>
      </c>
      <c r="L211" s="0" t="str">
        <f aca="false">IF(ISNUMBER(SEARCH("La",B211)),"La",
 IF(ISNUMBER(SEARCH("Nd",B211)),"Nd",
 IF(ISNUMBER(SEARCH("Eu",B211)),"Eu",
 IF(ISNUMBER(SEARCH("Gd",B211)),"Gd",""))))</f>
        <v/>
      </c>
      <c r="M211" s="0" t="str">
        <f aca="false">IF(L211="","",_xlfn.XLOOKUP(TRIM(L211),Metallic_Radius_Table!A:A,Metallic_Radius_Table!B:B))</f>
        <v/>
      </c>
      <c r="N211" s="0" t="str">
        <f aca="false">TRIM(LEFT(C211,FIND(",",C211)-1))</f>
        <v>Mn</v>
      </c>
      <c r="O211" s="3" t="n">
        <f aca="false">IF(N211="","",_xlfn.XLOOKUP(TRIM(N211),Metallic_Radius_Table!A:A,Metallic_Radius_Table!B:B))</f>
        <v>1.27</v>
      </c>
      <c r="P211" s="0" t="str">
        <f aca="false">TRIM(MID(C211,FIND(",",C211)+1,5))</f>
        <v>Ni</v>
      </c>
      <c r="Q211" s="0" t="n">
        <f aca="false">IF(P211="","",_xlfn.XLOOKUP(TRIM(P211),Metallic_Radius_Table!A:A,Metallic_Radius_Table!B:B))</f>
        <v>1.24</v>
      </c>
      <c r="R211" s="0" t="str">
        <f aca="false">IF(G211&gt;=1,   "Ferromagnetic / Ferrimagnetic",   IF(G211&gt;=0.05,      "Paramagnetic / Weakly magnetic",      "Antiferromagnetic / Diamagnetic"))</f>
        <v>Ferromagnetic / Ferrimagnetic</v>
      </c>
      <c r="U211" s="0" t="str">
        <f aca="false">IF(G211&gt;=1,
   "FM → PM (Curie-type)",
   IF(G211&lt;0.05,
      "AFM → PM (Néel-type)",
      "No long-range magnetic transition"))</f>
        <v>FM → PM (Curie-type)</v>
      </c>
    </row>
    <row r="212" customFormat="false" ht="14.25" hidden="false" customHeight="false" outlineLevel="0" collapsed="false">
      <c r="A212" s="0" t="s">
        <v>502</v>
      </c>
      <c r="B212" s="0" t="s">
        <v>503</v>
      </c>
      <c r="C212" s="0" t="s">
        <v>504</v>
      </c>
      <c r="D212" s="0" t="n">
        <v>-2.98184012848484</v>
      </c>
      <c r="E212" s="0" t="n">
        <v>0.058222049318183</v>
      </c>
      <c r="F212" s="0" t="n">
        <v>3.1552</v>
      </c>
      <c r="G212" s="0" t="n">
        <v>4.0064996</v>
      </c>
      <c r="H212" s="0" t="s">
        <v>492</v>
      </c>
      <c r="I212" s="2" t="b">
        <f aca="false">TRUE()</f>
        <v>1</v>
      </c>
      <c r="J212" s="0" t="str">
        <f aca="false">IF(AND(CODE(MID(B212,2,1))&gt;=97,CODE(MID(B212,2,1))&lt;=122),LEFT(B212,2),LEFT(B212,1))</f>
        <v>Ca</v>
      </c>
      <c r="K212" s="0" t="n">
        <f aca="false">IF(J212="","",_xlfn.XLOOKUP(TRIM(J212),Metallic_Radius_Table!A:A,Metallic_Radius_Table!B:B))</f>
        <v>1.97</v>
      </c>
      <c r="L212" s="0" t="str">
        <f aca="false">IF(ISNUMBER(SEARCH("La",B212)),"La",
 IF(ISNUMBER(SEARCH("Nd",B212)),"Nd",
 IF(ISNUMBER(SEARCH("Eu",B212)),"Eu",
 IF(ISNUMBER(SEARCH("Gd",B212)),"Gd",""))))</f>
        <v/>
      </c>
      <c r="M212" s="0" t="str">
        <f aca="false">IF(L212="","",_xlfn.XLOOKUP(TRIM(L212),Metallic_Radius_Table!A:A,Metallic_Radius_Table!B:B))</f>
        <v/>
      </c>
      <c r="N212" s="0" t="str">
        <f aca="false">TRIM(LEFT(C212,FIND(",",C212)-1))</f>
        <v>Ni</v>
      </c>
      <c r="O212" s="3" t="n">
        <f aca="false">IF(N212="","",_xlfn.XLOOKUP(TRIM(N212),Metallic_Radius_Table!A:A,Metallic_Radius_Table!B:B))</f>
        <v>1.24</v>
      </c>
      <c r="P212" s="0" t="str">
        <f aca="false">TRIM(MID(C212,FIND(",",C212)+1,5))</f>
        <v>Ti</v>
      </c>
      <c r="Q212" s="0" t="n">
        <f aca="false">IF(P212="","",_xlfn.XLOOKUP(TRIM(P212),Metallic_Radius_Table!A:A,Metallic_Radius_Table!B:B))</f>
        <v>1.47</v>
      </c>
      <c r="R212" s="0" t="str">
        <f aca="false">IF(G212&gt;=1,   "Ferromagnetic / Ferrimagnetic",   IF(G212&gt;=0.05,      "Paramagnetic / Weakly magnetic",      "Antiferromagnetic / Diamagnetic"))</f>
        <v>Ferromagnetic / Ferrimagnetic</v>
      </c>
      <c r="U212" s="0" t="str">
        <f aca="false">IF(G212&gt;=1,
   "FM → PM (Curie-type)",
   IF(G212&lt;0.05,
      "AFM → PM (Néel-type)",
      "No long-range magnetic transition"))</f>
        <v>FM → PM (Curie-type)</v>
      </c>
    </row>
    <row r="213" customFormat="false" ht="14.25" hidden="false" customHeight="false" outlineLevel="0" collapsed="false">
      <c r="A213" s="0" t="s">
        <v>505</v>
      </c>
      <c r="B213" s="0" t="s">
        <v>506</v>
      </c>
      <c r="C213" s="0" t="s">
        <v>35</v>
      </c>
      <c r="D213" s="0" t="n">
        <v>-1.99332652999999</v>
      </c>
      <c r="E213" s="0" t="n">
        <v>0.181525708333335</v>
      </c>
      <c r="F213" s="0" t="n">
        <v>0</v>
      </c>
      <c r="G213" s="0" t="n">
        <v>2.0002192</v>
      </c>
      <c r="H213" s="0" t="s">
        <v>163</v>
      </c>
      <c r="I213" s="2" t="b">
        <f aca="false">TRUE()</f>
        <v>1</v>
      </c>
      <c r="J213" s="0" t="str">
        <f aca="false">IF(AND(CODE(MID(B213,2,1))&gt;=97,CODE(MID(B213,2,1))&lt;=122),LEFT(B213,2),LEFT(B213,1))</f>
        <v>Ca</v>
      </c>
      <c r="K213" s="0" t="n">
        <f aca="false">IF(J213="","",_xlfn.XLOOKUP(TRIM(J213),Metallic_Radius_Table!A:A,Metallic_Radius_Table!B:B))</f>
        <v>1.97</v>
      </c>
      <c r="L213" s="0" t="str">
        <f aca="false">IF(ISNUMBER(SEARCH("La",B213)),"La",
 IF(ISNUMBER(SEARCH("Nd",B213)),"Nd",
 IF(ISNUMBER(SEARCH("Eu",B213)),"Eu",
 IF(ISNUMBER(SEARCH("Gd",B213)),"Gd",""))))</f>
        <v/>
      </c>
      <c r="M213" s="0" t="str">
        <f aca="false">IF(L213="","",_xlfn.XLOOKUP(TRIM(L213),Metallic_Radius_Table!A:A,Metallic_Radius_Table!B:B))</f>
        <v/>
      </c>
      <c r="N213" s="0" t="str">
        <f aca="false">TRIM(LEFT(C213,FIND(",",C213)-1))</f>
        <v>Co</v>
      </c>
      <c r="O213" s="3" t="n">
        <f aca="false">IF(N213="","",_xlfn.XLOOKUP(TRIM(N213),Metallic_Radius_Table!A:A,Metallic_Radius_Table!B:B))</f>
        <v>1.25</v>
      </c>
      <c r="P213" s="0" t="str">
        <f aca="false">TRIM(MID(C213,FIND(",",C213)+1,5))</f>
        <v>W</v>
      </c>
      <c r="Q213" s="0" t="n">
        <f aca="false">IF(P213="","",_xlfn.XLOOKUP(TRIM(P213),Metallic_Radius_Table!A:A,Metallic_Radius_Table!B:B))</f>
        <v>1.41</v>
      </c>
      <c r="R213" s="0" t="str">
        <f aca="false">IF(G213&gt;=1,   "Ferromagnetic / Ferrimagnetic",   IF(G213&gt;=0.05,      "Paramagnetic / Weakly magnetic",      "Antiferromagnetic / Diamagnetic"))</f>
        <v>Ferromagnetic / Ferrimagnetic</v>
      </c>
      <c r="U213" s="0" t="str">
        <f aca="false">IF(G213&gt;=1,
   "FM → PM (Curie-type)",
   IF(G213&lt;0.05,
      "AFM → PM (Néel-type)",
      "No long-range magnetic transition"))</f>
        <v>FM → PM (Curie-type)</v>
      </c>
    </row>
    <row r="214" customFormat="false" ht="14.25" hidden="false" customHeight="false" outlineLevel="0" collapsed="false">
      <c r="A214" s="0" t="s">
        <v>507</v>
      </c>
      <c r="B214" s="0" t="s">
        <v>508</v>
      </c>
      <c r="C214" s="0" t="s">
        <v>114</v>
      </c>
      <c r="D214" s="0" t="n">
        <v>-3.35924014749999</v>
      </c>
      <c r="E214" s="0" t="n">
        <v>0.13301374258334</v>
      </c>
      <c r="F214" s="0" t="n">
        <v>0</v>
      </c>
      <c r="G214" s="0" t="n">
        <v>6.481245</v>
      </c>
      <c r="H214" s="0" t="s">
        <v>111</v>
      </c>
      <c r="I214" s="2" t="b">
        <f aca="false">TRUE()</f>
        <v>1</v>
      </c>
      <c r="J214" s="0" t="str">
        <f aca="false">IF(AND(CODE(MID(B214,2,1))&gt;=97,CODE(MID(B214,2,1))&lt;=122),LEFT(B214,2),LEFT(B214,1))</f>
        <v>Ca</v>
      </c>
      <c r="K214" s="0" t="n">
        <f aca="false">IF(J214="","",_xlfn.XLOOKUP(TRIM(J214),Metallic_Radius_Table!A:A,Metallic_Radius_Table!B:B))</f>
        <v>1.97</v>
      </c>
      <c r="L214" s="0" t="str">
        <f aca="false">IF(ISNUMBER(SEARCH("La",B214)),"La",
 IF(ISNUMBER(SEARCH("Nd",B214)),"Nd",
 IF(ISNUMBER(SEARCH("Eu",B214)),"Eu",
 IF(ISNUMBER(SEARCH("Gd",B214)),"Gd",""))))</f>
        <v>Eu</v>
      </c>
      <c r="M214" s="0" t="n">
        <f aca="false">IF(L214="","",_xlfn.XLOOKUP(TRIM(L214),Metallic_Radius_Table!A:A,Metallic_Radius_Table!B:B))</f>
        <v>1.99</v>
      </c>
      <c r="N214" s="0" t="str">
        <f aca="false">TRIM(LEFT(C214,FIND(",",C214)-1))</f>
        <v>Nb</v>
      </c>
      <c r="O214" s="3" t="n">
        <f aca="false">IF(N214="","",_xlfn.XLOOKUP(TRIM(N214),Metallic_Radius_Table!A:A,Metallic_Radius_Table!B:B))</f>
        <v>1.46</v>
      </c>
      <c r="P214" s="0" t="str">
        <f aca="false">TRIM(MID(C214,FIND(",",C214)+1,5))</f>
        <v>Hf</v>
      </c>
      <c r="Q214" s="0" t="n">
        <f aca="false">IF(P214="","",_xlfn.XLOOKUP(TRIM(P214),Metallic_Radius_Table!A:A,Metallic_Radius_Table!B:B))</f>
        <v>1.59</v>
      </c>
      <c r="R214" s="0" t="str">
        <f aca="false">IF(G214&gt;=1,   "Ferromagnetic / Ferrimagnetic",   IF(G214&gt;=0.05,      "Paramagnetic / Weakly magnetic",      "Antiferromagnetic / Diamagnetic"))</f>
        <v>Ferromagnetic / Ferrimagnetic</v>
      </c>
      <c r="U214" s="0" t="str">
        <f aca="false">IF(G214&gt;=1,
   "FM → PM (Curie-type)",
   IF(G214&lt;0.05,
      "AFM → PM (Néel-type)",
      "No long-range magnetic transition"))</f>
        <v>FM → PM (Curie-type)</v>
      </c>
    </row>
    <row r="215" customFormat="false" ht="14.25" hidden="false" customHeight="false" outlineLevel="0" collapsed="false">
      <c r="A215" s="0" t="s">
        <v>509</v>
      </c>
      <c r="B215" s="0" t="s">
        <v>510</v>
      </c>
      <c r="C215" s="0" t="s">
        <v>148</v>
      </c>
      <c r="D215" s="0" t="n">
        <v>-3.59718215083333</v>
      </c>
      <c r="E215" s="0" t="n">
        <v>0.0925478675</v>
      </c>
      <c r="F215" s="0" t="n">
        <v>0</v>
      </c>
      <c r="G215" s="0" t="n">
        <v>7.0000165</v>
      </c>
      <c r="H215" s="0" t="s">
        <v>111</v>
      </c>
      <c r="I215" s="2" t="b">
        <f aca="false">TRUE()</f>
        <v>1</v>
      </c>
      <c r="J215" s="0" t="str">
        <f aca="false">IF(AND(CODE(MID(B215,2,1))&gt;=97,CODE(MID(B215,2,1))&lt;=122),LEFT(B215,2),LEFT(B215,1))</f>
        <v>Ca</v>
      </c>
      <c r="K215" s="0" t="n">
        <f aca="false">IF(J215="","",_xlfn.XLOOKUP(TRIM(J215),Metallic_Radius_Table!A:A,Metallic_Radius_Table!B:B))</f>
        <v>1.97</v>
      </c>
      <c r="L215" s="0" t="str">
        <f aca="false">IF(ISNUMBER(SEARCH("La",B215)),"La",
 IF(ISNUMBER(SEARCH("Nd",B215)),"Nd",
 IF(ISNUMBER(SEARCH("Eu",B215)),"Eu",
 IF(ISNUMBER(SEARCH("Gd",B215)),"Gd",""))))</f>
        <v>Eu</v>
      </c>
      <c r="M215" s="0" t="n">
        <f aca="false">IF(L215="","",_xlfn.XLOOKUP(TRIM(L215),Metallic_Radius_Table!A:A,Metallic_Radius_Table!B:B))</f>
        <v>1.99</v>
      </c>
      <c r="N215" s="0" t="str">
        <f aca="false">TRIM(LEFT(C215,FIND(",",C215)-1))</f>
        <v>Hf</v>
      </c>
      <c r="O215" s="3" t="n">
        <f aca="false">IF(N215="","",_xlfn.XLOOKUP(TRIM(N215),Metallic_Radius_Table!A:A,Metallic_Radius_Table!B:B))</f>
        <v>1.59</v>
      </c>
      <c r="P215" s="0" t="str">
        <f aca="false">TRIM(MID(C215,FIND(",",C215)+1,5))</f>
        <v>Ti</v>
      </c>
      <c r="Q215" s="0" t="n">
        <f aca="false">IF(P215="","",_xlfn.XLOOKUP(TRIM(P215),Metallic_Radius_Table!A:A,Metallic_Radius_Table!B:B))</f>
        <v>1.47</v>
      </c>
      <c r="R215" s="0" t="str">
        <f aca="false">IF(G215&gt;=1,   "Ferromagnetic / Ferrimagnetic",   IF(G215&gt;=0.05,      "Paramagnetic / Weakly magnetic",      "Antiferromagnetic / Diamagnetic"))</f>
        <v>Ferromagnetic / Ferrimagnetic</v>
      </c>
      <c r="U215" s="0" t="str">
        <f aca="false">IF(G215&gt;=1,
   "FM → PM (Curie-type)",
   IF(G215&lt;0.05,
      "AFM → PM (Néel-type)",
      "No long-range magnetic transition"))</f>
        <v>FM → PM (Curie-type)</v>
      </c>
    </row>
    <row r="216" customFormat="false" ht="14.25" hidden="false" customHeight="false" outlineLevel="0" collapsed="false">
      <c r="A216" s="0" t="s">
        <v>511</v>
      </c>
      <c r="B216" s="0" t="s">
        <v>512</v>
      </c>
      <c r="C216" s="0" t="s">
        <v>513</v>
      </c>
      <c r="D216" s="0" t="n">
        <v>-3.2651381615</v>
      </c>
      <c r="E216" s="0" t="n">
        <v>0.140260932562501</v>
      </c>
      <c r="F216" s="0" t="n">
        <v>0</v>
      </c>
      <c r="G216" s="0" t="n">
        <v>8.0000001</v>
      </c>
      <c r="H216" s="0" t="s">
        <v>111</v>
      </c>
      <c r="I216" s="2" t="b">
        <f aca="false">TRUE()</f>
        <v>1</v>
      </c>
      <c r="J216" s="0" t="str">
        <f aca="false">IF(AND(CODE(MID(B216,2,1))&gt;=97,CODE(MID(B216,2,1))&lt;=122),LEFT(B216,2),LEFT(B216,1))</f>
        <v>Ca</v>
      </c>
      <c r="K216" s="0" t="n">
        <f aca="false">IF(J216="","",_xlfn.XLOOKUP(TRIM(J216),Metallic_Radius_Table!A:A,Metallic_Radius_Table!B:B))</f>
        <v>1.97</v>
      </c>
      <c r="L216" s="0" t="str">
        <f aca="false">IF(ISNUMBER(SEARCH("La",B216)),"La",
 IF(ISNUMBER(SEARCH("Nd",B216)),"Nd",
 IF(ISNUMBER(SEARCH("Eu",B216)),"Eu",
 IF(ISNUMBER(SEARCH("Gd",B216)),"Gd",""))))</f>
        <v>Eu</v>
      </c>
      <c r="M216" s="0" t="n">
        <f aca="false">IF(L216="","",_xlfn.XLOOKUP(TRIM(L216),Metallic_Radius_Table!A:A,Metallic_Radius_Table!B:B))</f>
        <v>1.99</v>
      </c>
      <c r="N216" s="0" t="str">
        <f aca="false">TRIM(LEFT(C216,FIND(",",C216)-1))</f>
        <v>Hf</v>
      </c>
      <c r="O216" s="3" t="n">
        <f aca="false">IF(N216="","",_xlfn.XLOOKUP(TRIM(N216),Metallic_Radius_Table!A:A,Metallic_Radius_Table!B:B))</f>
        <v>1.59</v>
      </c>
      <c r="P216" s="0" t="str">
        <f aca="false">TRIM(MID(C216,FIND(",",C216)+1,5))</f>
        <v>V</v>
      </c>
      <c r="Q216" s="0" t="n">
        <f aca="false">IF(P216="","",_xlfn.XLOOKUP(TRIM(P216),Metallic_Radius_Table!A:A,Metallic_Radius_Table!B:B))</f>
        <v>1.34</v>
      </c>
      <c r="R216" s="0" t="str">
        <f aca="false">IF(G216&gt;=1,   "Ferromagnetic / Ferrimagnetic",   IF(G216&gt;=0.05,      "Paramagnetic / Weakly magnetic",      "Antiferromagnetic / Diamagnetic"))</f>
        <v>Ferromagnetic / Ferrimagnetic</v>
      </c>
      <c r="U216" s="0" t="str">
        <f aca="false">IF(G216&gt;=1,
   "FM → PM (Curie-type)",
   IF(G216&lt;0.05,
      "AFM → PM (Néel-type)",
      "No long-range magnetic transition"))</f>
        <v>FM → PM (Curie-type)</v>
      </c>
    </row>
    <row r="217" customFormat="false" ht="14.25" hidden="false" customHeight="false" outlineLevel="0" collapsed="false">
      <c r="A217" s="0" t="s">
        <v>514</v>
      </c>
      <c r="B217" s="0" t="s">
        <v>515</v>
      </c>
      <c r="C217" s="0" t="s">
        <v>120</v>
      </c>
      <c r="D217" s="0" t="n">
        <v>-3.6019453195</v>
      </c>
      <c r="E217" s="0" t="n">
        <v>0.128619155250001</v>
      </c>
      <c r="F217" s="0" t="n">
        <v>0.3977</v>
      </c>
      <c r="G217" s="0" t="n">
        <v>6.9999998</v>
      </c>
      <c r="H217" s="0" t="s">
        <v>111</v>
      </c>
      <c r="I217" s="2" t="b">
        <f aca="false">TRUE()</f>
        <v>1</v>
      </c>
      <c r="J217" s="0" t="str">
        <f aca="false">IF(AND(CODE(MID(B217,2,1))&gt;=97,CODE(MID(B217,2,1))&lt;=122),LEFT(B217,2),LEFT(B217,1))</f>
        <v>Ca</v>
      </c>
      <c r="K217" s="0" t="n">
        <f aca="false">IF(J217="","",_xlfn.XLOOKUP(TRIM(J217),Metallic_Radius_Table!A:A,Metallic_Radius_Table!B:B))</f>
        <v>1.97</v>
      </c>
      <c r="L217" s="0" t="str">
        <f aca="false">IF(ISNUMBER(SEARCH("La",B217)),"La",
 IF(ISNUMBER(SEARCH("Nd",B217)),"Nd",
 IF(ISNUMBER(SEARCH("Eu",B217)),"Eu",
 IF(ISNUMBER(SEARCH("Gd",B217)),"Gd",""))))</f>
        <v>Eu</v>
      </c>
      <c r="M217" s="0" t="n">
        <f aca="false">IF(L217="","",_xlfn.XLOOKUP(TRIM(L217),Metallic_Radius_Table!A:A,Metallic_Radius_Table!B:B))</f>
        <v>1.99</v>
      </c>
      <c r="N217" s="0" t="str">
        <f aca="false">TRIM(LEFT(C217,FIND(",",C217)-1))</f>
        <v>Zr</v>
      </c>
      <c r="O217" s="3" t="n">
        <f aca="false">IF(N217="","",_xlfn.XLOOKUP(TRIM(N217),Metallic_Radius_Table!A:A,Metallic_Radius_Table!B:B))</f>
        <v>1.6</v>
      </c>
      <c r="P217" s="0" t="str">
        <f aca="false">TRIM(MID(C217,FIND(",",C217)+1,5))</f>
        <v>Hf</v>
      </c>
      <c r="Q217" s="0" t="n">
        <f aca="false">IF(P217="","",_xlfn.XLOOKUP(TRIM(P217),Metallic_Radius_Table!A:A,Metallic_Radius_Table!B:B))</f>
        <v>1.59</v>
      </c>
      <c r="R217" s="0" t="str">
        <f aca="false">IF(G217&gt;=1,   "Ferromagnetic / Ferrimagnetic",   IF(G217&gt;=0.05,      "Paramagnetic / Weakly magnetic",      "Antiferromagnetic / Diamagnetic"))</f>
        <v>Ferromagnetic / Ferrimagnetic</v>
      </c>
      <c r="U217" s="0" t="str">
        <f aca="false">IF(G217&gt;=1,
   "FM → PM (Curie-type)",
   IF(G217&lt;0.05,
      "AFM → PM (Néel-type)",
      "No long-range magnetic transition"))</f>
        <v>FM → PM (Curie-type)</v>
      </c>
    </row>
    <row r="218" customFormat="false" ht="14.25" hidden="false" customHeight="false" outlineLevel="0" collapsed="false">
      <c r="A218" s="0" t="s">
        <v>516</v>
      </c>
      <c r="B218" s="0" t="s">
        <v>517</v>
      </c>
      <c r="C218" s="0" t="s">
        <v>79</v>
      </c>
      <c r="D218" s="0" t="n">
        <v>-2.6462208132931</v>
      </c>
      <c r="E218" s="0" t="n">
        <v>0.114910687250002</v>
      </c>
      <c r="F218" s="0" t="n">
        <v>0.283999999999999</v>
      </c>
      <c r="G218" s="0" t="n">
        <v>11.9994527</v>
      </c>
      <c r="H218" s="0" t="s">
        <v>111</v>
      </c>
      <c r="I218" s="2" t="b">
        <f aca="false">TRUE()</f>
        <v>1</v>
      </c>
      <c r="J218" s="0" t="str">
        <f aca="false">IF(AND(CODE(MID(B218,2,1))&gt;=97,CODE(MID(B218,2,1))&lt;=122),LEFT(B218,2),LEFT(B218,1))</f>
        <v>Ca</v>
      </c>
      <c r="K218" s="0" t="n">
        <f aca="false">IF(J218="","",_xlfn.XLOOKUP(TRIM(J218),Metallic_Radius_Table!A:A,Metallic_Radius_Table!B:B))</f>
        <v>1.97</v>
      </c>
      <c r="L218" s="0" t="str">
        <f aca="false">IF(ISNUMBER(SEARCH("La",B218)),"La",
 IF(ISNUMBER(SEARCH("Nd",B218)),"Nd",
 IF(ISNUMBER(SEARCH("Eu",B218)),"Eu",
 IF(ISNUMBER(SEARCH("Gd",B218)),"Gd",""))))</f>
        <v>Eu</v>
      </c>
      <c r="M218" s="0" t="n">
        <f aca="false">IF(L218="","",_xlfn.XLOOKUP(TRIM(L218),Metallic_Radius_Table!A:A,Metallic_Radius_Table!B:B))</f>
        <v>1.99</v>
      </c>
      <c r="N218" s="0" t="str">
        <f aca="false">TRIM(LEFT(C218,FIND(",",C218)-1))</f>
        <v>Mn</v>
      </c>
      <c r="O218" s="3" t="n">
        <f aca="false">IF(N218="","",_xlfn.XLOOKUP(TRIM(N218),Metallic_Radius_Table!A:A,Metallic_Radius_Table!B:B))</f>
        <v>1.27</v>
      </c>
      <c r="P218" s="0" t="str">
        <f aca="false">TRIM(MID(C218,FIND(",",C218)+1,5))</f>
        <v>W</v>
      </c>
      <c r="Q218" s="0" t="n">
        <f aca="false">IF(P218="","",_xlfn.XLOOKUP(TRIM(P218),Metallic_Radius_Table!A:A,Metallic_Radius_Table!B:B))</f>
        <v>1.41</v>
      </c>
      <c r="R218" s="0" t="str">
        <f aca="false">IF(G218&gt;=1,   "Ferromagnetic / Ferrimagnetic",   IF(G218&gt;=0.05,      "Paramagnetic / Weakly magnetic",      "Antiferromagnetic / Diamagnetic"))</f>
        <v>Ferromagnetic / Ferrimagnetic</v>
      </c>
      <c r="U218" s="0" t="str">
        <f aca="false">IF(G218&gt;=1,
   "FM → PM (Curie-type)",
   IF(G218&lt;0.05,
      "AFM → PM (Néel-type)",
      "No long-range magnetic transition"))</f>
        <v>FM → PM (Curie-type)</v>
      </c>
    </row>
    <row r="219" customFormat="false" ht="14.25" hidden="false" customHeight="false" outlineLevel="0" collapsed="false">
      <c r="A219" s="0" t="s">
        <v>518</v>
      </c>
      <c r="B219" s="0" t="s">
        <v>519</v>
      </c>
      <c r="C219" s="0" t="s">
        <v>89</v>
      </c>
      <c r="D219" s="0" t="n">
        <v>-2.8604638795</v>
      </c>
      <c r="E219" s="0" t="n">
        <v>0.110771709625007</v>
      </c>
      <c r="F219" s="0" t="n">
        <v>0</v>
      </c>
      <c r="G219" s="0" t="n">
        <v>11.7352481</v>
      </c>
      <c r="H219" s="0" t="s">
        <v>111</v>
      </c>
      <c r="I219" s="2" t="b">
        <f aca="false">TRUE()</f>
        <v>1</v>
      </c>
      <c r="J219" s="0" t="str">
        <f aca="false">IF(AND(CODE(MID(B219,2,1))&gt;=97,CODE(MID(B219,2,1))&lt;=122),LEFT(B219,2),LEFT(B219,1))</f>
        <v>Ca</v>
      </c>
      <c r="K219" s="0" t="n">
        <f aca="false">IF(J219="","",_xlfn.XLOOKUP(TRIM(J219),Metallic_Radius_Table!A:A,Metallic_Radius_Table!B:B))</f>
        <v>1.97</v>
      </c>
      <c r="L219" s="0" t="str">
        <f aca="false">IF(ISNUMBER(SEARCH("La",B219)),"La",
 IF(ISNUMBER(SEARCH("Nd",B219)),"Nd",
 IF(ISNUMBER(SEARCH("Eu",B219)),"Eu",
 IF(ISNUMBER(SEARCH("Gd",B219)),"Gd",""))))</f>
        <v>Eu</v>
      </c>
      <c r="M219" s="0" t="n">
        <f aca="false">IF(L219="","",_xlfn.XLOOKUP(TRIM(L219),Metallic_Radius_Table!A:A,Metallic_Radius_Table!B:B))</f>
        <v>1.99</v>
      </c>
      <c r="N219" s="0" t="str">
        <f aca="false">TRIM(LEFT(C219,FIND(",",C219)-1))</f>
        <v>Fe</v>
      </c>
      <c r="O219" s="3" t="n">
        <f aca="false">IF(N219="","",_xlfn.XLOOKUP(TRIM(N219),Metallic_Radius_Table!A:A,Metallic_Radius_Table!B:B))</f>
        <v>1.26</v>
      </c>
      <c r="P219" s="0" t="str">
        <f aca="false">TRIM(MID(C219,FIND(",",C219)+1,5))</f>
        <v>Nb</v>
      </c>
      <c r="Q219" s="0" t="n">
        <f aca="false">IF(P219="","",_xlfn.XLOOKUP(TRIM(P219),Metallic_Radius_Table!A:A,Metallic_Radius_Table!B:B))</f>
        <v>1.46</v>
      </c>
      <c r="R219" s="0" t="str">
        <f aca="false">IF(G219&gt;=1,   "Ferromagnetic / Ferrimagnetic",   IF(G219&gt;=0.05,      "Paramagnetic / Weakly magnetic",      "Antiferromagnetic / Diamagnetic"))</f>
        <v>Ferromagnetic / Ferrimagnetic</v>
      </c>
      <c r="U219" s="0" t="str">
        <f aca="false">IF(G219&gt;=1,
   "FM → PM (Curie-type)",
   IF(G219&lt;0.05,
      "AFM → PM (Néel-type)",
      "No long-range magnetic transition"))</f>
        <v>FM → PM (Curie-type)</v>
      </c>
    </row>
    <row r="220" customFormat="false" ht="14.25" hidden="false" customHeight="false" outlineLevel="0" collapsed="false">
      <c r="A220" s="0" t="s">
        <v>520</v>
      </c>
      <c r="B220" s="0" t="s">
        <v>521</v>
      </c>
      <c r="C220" s="0" t="s">
        <v>522</v>
      </c>
      <c r="D220" s="0" t="n">
        <v>-3.0254176532931</v>
      </c>
      <c r="E220" s="0" t="n">
        <v>0.182227418500001</v>
      </c>
      <c r="F220" s="0" t="n">
        <v>0</v>
      </c>
      <c r="G220" s="0" t="n">
        <v>10.0000002</v>
      </c>
      <c r="H220" s="0" t="s">
        <v>111</v>
      </c>
      <c r="I220" s="2" t="b">
        <f aca="false">TRUE()</f>
        <v>1</v>
      </c>
      <c r="J220" s="0" t="str">
        <f aca="false">IF(AND(CODE(MID(B220,2,1))&gt;=97,CODE(MID(B220,2,1))&lt;=122),LEFT(B220,2),LEFT(B220,1))</f>
        <v>Ca</v>
      </c>
      <c r="K220" s="0" t="n">
        <f aca="false">IF(J220="","",_xlfn.XLOOKUP(TRIM(J220),Metallic_Radius_Table!A:A,Metallic_Radius_Table!B:B))</f>
        <v>1.97</v>
      </c>
      <c r="L220" s="0" t="str">
        <f aca="false">IF(ISNUMBER(SEARCH("La",B220)),"La",
 IF(ISNUMBER(SEARCH("Nd",B220)),"Nd",
 IF(ISNUMBER(SEARCH("Eu",B220)),"Eu",
 IF(ISNUMBER(SEARCH("Gd",B220)),"Gd",""))))</f>
        <v>Eu</v>
      </c>
      <c r="M220" s="0" t="n">
        <f aca="false">IF(L220="","",_xlfn.XLOOKUP(TRIM(L220),Metallic_Radius_Table!A:A,Metallic_Radius_Table!B:B))</f>
        <v>1.99</v>
      </c>
      <c r="N220" s="0" t="str">
        <f aca="false">TRIM(LEFT(C220,FIND(",",C220)-1))</f>
        <v>Zr</v>
      </c>
      <c r="O220" s="3" t="n">
        <f aca="false">IF(N220="","",_xlfn.XLOOKUP(TRIM(N220),Metallic_Radius_Table!A:A,Metallic_Radius_Table!B:B))</f>
        <v>1.6</v>
      </c>
      <c r="P220" s="0" t="str">
        <f aca="false">TRIM(MID(C220,FIND(",",C220)+1,5))</f>
        <v>Mn</v>
      </c>
      <c r="Q220" s="0" t="n">
        <f aca="false">IF(P220="","",_xlfn.XLOOKUP(TRIM(P220),Metallic_Radius_Table!A:A,Metallic_Radius_Table!B:B))</f>
        <v>1.27</v>
      </c>
      <c r="R220" s="0" t="str">
        <f aca="false">IF(G220&gt;=1,   "Ferromagnetic / Ferrimagnetic",   IF(G220&gt;=0.05,      "Paramagnetic / Weakly magnetic",      "Antiferromagnetic / Diamagnetic"))</f>
        <v>Ferromagnetic / Ferrimagnetic</v>
      </c>
      <c r="U220" s="0" t="str">
        <f aca="false">IF(G220&gt;=1,
   "FM → PM (Curie-type)",
   IF(G220&lt;0.05,
      "AFM → PM (Néel-type)",
      "No long-range magnetic transition"))</f>
        <v>FM → PM (Curie-type)</v>
      </c>
    </row>
    <row r="221" customFormat="false" ht="14.25" hidden="false" customHeight="false" outlineLevel="0" collapsed="false">
      <c r="A221" s="0" t="s">
        <v>523</v>
      </c>
      <c r="B221" s="0" t="s">
        <v>524</v>
      </c>
      <c r="C221" s="0" t="s">
        <v>128</v>
      </c>
      <c r="D221" s="0" t="n">
        <v>-3.2841151115</v>
      </c>
      <c r="E221" s="0" t="n">
        <v>0.143949902625012</v>
      </c>
      <c r="F221" s="0" t="n">
        <v>0</v>
      </c>
      <c r="G221" s="0" t="n">
        <v>6.7208012</v>
      </c>
      <c r="H221" s="0" t="s">
        <v>111</v>
      </c>
      <c r="I221" s="2" t="b">
        <f aca="false">TRUE()</f>
        <v>1</v>
      </c>
      <c r="J221" s="0" t="str">
        <f aca="false">IF(AND(CODE(MID(B221,2,1))&gt;=97,CODE(MID(B221,2,1))&lt;=122),LEFT(B221,2),LEFT(B221,1))</f>
        <v>Ca</v>
      </c>
      <c r="K221" s="0" t="n">
        <f aca="false">IF(J221="","",_xlfn.XLOOKUP(TRIM(J221),Metallic_Radius_Table!A:A,Metallic_Radius_Table!B:B))</f>
        <v>1.97</v>
      </c>
      <c r="L221" s="0" t="str">
        <f aca="false">IF(ISNUMBER(SEARCH("La",B221)),"La",
 IF(ISNUMBER(SEARCH("Nd",B221)),"Nd",
 IF(ISNUMBER(SEARCH("Eu",B221)),"Eu",
 IF(ISNUMBER(SEARCH("Gd",B221)),"Gd",""))))</f>
        <v>Eu</v>
      </c>
      <c r="M221" s="0" t="n">
        <f aca="false">IF(L221="","",_xlfn.XLOOKUP(TRIM(L221),Metallic_Radius_Table!A:A,Metallic_Radius_Table!B:B))</f>
        <v>1.99</v>
      </c>
      <c r="N221" s="0" t="str">
        <f aca="false">TRIM(LEFT(C221,FIND(",",C221)-1))</f>
        <v>Zr</v>
      </c>
      <c r="O221" s="3" t="n">
        <f aca="false">IF(N221="","",_xlfn.XLOOKUP(TRIM(N221),Metallic_Radius_Table!A:A,Metallic_Radius_Table!B:B))</f>
        <v>1.6</v>
      </c>
      <c r="P221" s="0" t="str">
        <f aca="false">TRIM(MID(C221,FIND(",",C221)+1,5))</f>
        <v>Nb</v>
      </c>
      <c r="Q221" s="0" t="n">
        <f aca="false">IF(P221="","",_xlfn.XLOOKUP(TRIM(P221),Metallic_Radius_Table!A:A,Metallic_Radius_Table!B:B))</f>
        <v>1.46</v>
      </c>
      <c r="R221" s="0" t="str">
        <f aca="false">IF(G221&gt;=1,   "Ferromagnetic / Ferrimagnetic",   IF(G221&gt;=0.05,      "Paramagnetic / Weakly magnetic",      "Antiferromagnetic / Diamagnetic"))</f>
        <v>Ferromagnetic / Ferrimagnetic</v>
      </c>
      <c r="U221" s="0" t="str">
        <f aca="false">IF(G221&gt;=1,
   "FM → PM (Curie-type)",
   IF(G221&lt;0.05,
      "AFM → PM (Néel-type)",
      "No long-range magnetic transition"))</f>
        <v>FM → PM (Curie-type)</v>
      </c>
    </row>
    <row r="222" customFormat="false" ht="14.25" hidden="false" customHeight="false" outlineLevel="0" collapsed="false">
      <c r="A222" s="0" t="s">
        <v>525</v>
      </c>
      <c r="B222" s="0" t="s">
        <v>526</v>
      </c>
      <c r="C222" s="0" t="s">
        <v>216</v>
      </c>
      <c r="D222" s="0" t="n">
        <v>-3.50778114083333</v>
      </c>
      <c r="E222" s="0" t="n">
        <v>0.106567380749998</v>
      </c>
      <c r="F222" s="0" t="n">
        <v>0</v>
      </c>
      <c r="G222" s="0" t="n">
        <v>7.0027481</v>
      </c>
      <c r="H222" s="0" t="s">
        <v>111</v>
      </c>
      <c r="I222" s="2" t="b">
        <f aca="false">TRUE()</f>
        <v>1</v>
      </c>
      <c r="J222" s="0" t="str">
        <f aca="false">IF(AND(CODE(MID(B222,2,1))&gt;=97,CODE(MID(B222,2,1))&lt;=122),LEFT(B222,2),LEFT(B222,1))</f>
        <v>Ca</v>
      </c>
      <c r="K222" s="0" t="n">
        <f aca="false">IF(J222="","",_xlfn.XLOOKUP(TRIM(J222),Metallic_Radius_Table!A:A,Metallic_Radius_Table!B:B))</f>
        <v>1.97</v>
      </c>
      <c r="L222" s="0" t="str">
        <f aca="false">IF(ISNUMBER(SEARCH("La",B222)),"La",
 IF(ISNUMBER(SEARCH("Nd",B222)),"Nd",
 IF(ISNUMBER(SEARCH("Eu",B222)),"Eu",
 IF(ISNUMBER(SEARCH("Gd",B222)),"Gd",""))))</f>
        <v>Eu</v>
      </c>
      <c r="M222" s="0" t="n">
        <f aca="false">IF(L222="","",_xlfn.XLOOKUP(TRIM(L222),Metallic_Radius_Table!A:A,Metallic_Radius_Table!B:B))</f>
        <v>1.99</v>
      </c>
      <c r="N222" s="0" t="str">
        <f aca="false">TRIM(LEFT(C222,FIND(",",C222)-1))</f>
        <v>Zr</v>
      </c>
      <c r="O222" s="3" t="n">
        <f aca="false">IF(N222="","",_xlfn.XLOOKUP(TRIM(N222),Metallic_Radius_Table!A:A,Metallic_Radius_Table!B:B))</f>
        <v>1.6</v>
      </c>
      <c r="P222" s="0" t="str">
        <f aca="false">TRIM(MID(C222,FIND(",",C222)+1,5))</f>
        <v>Ti</v>
      </c>
      <c r="Q222" s="0" t="n">
        <f aca="false">IF(P222="","",_xlfn.XLOOKUP(TRIM(P222),Metallic_Radius_Table!A:A,Metallic_Radius_Table!B:B))</f>
        <v>1.47</v>
      </c>
      <c r="R222" s="0" t="str">
        <f aca="false">IF(G222&gt;=1,   "Ferromagnetic / Ferrimagnetic",   IF(G222&gt;=0.05,      "Paramagnetic / Weakly magnetic",      "Antiferromagnetic / Diamagnetic"))</f>
        <v>Ferromagnetic / Ferrimagnetic</v>
      </c>
      <c r="U222" s="0" t="str">
        <f aca="false">IF(G222&gt;=1,
   "FM → PM (Curie-type)",
   IF(G222&lt;0.05,
      "AFM → PM (Néel-type)",
      "No long-range magnetic transition"))</f>
        <v>FM → PM (Curie-type)</v>
      </c>
    </row>
    <row r="223" customFormat="false" ht="14.25" hidden="false" customHeight="false" outlineLevel="0" collapsed="false">
      <c r="A223" s="0" t="s">
        <v>527</v>
      </c>
      <c r="B223" s="0" t="s">
        <v>528</v>
      </c>
      <c r="C223" s="0" t="s">
        <v>529</v>
      </c>
      <c r="D223" s="0" t="n">
        <v>-3.1782464325</v>
      </c>
      <c r="E223" s="0" t="n">
        <v>0.153132604000003</v>
      </c>
      <c r="F223" s="0" t="n">
        <v>0</v>
      </c>
      <c r="G223" s="0" t="n">
        <v>8.0000005</v>
      </c>
      <c r="H223" s="0" t="s">
        <v>111</v>
      </c>
      <c r="I223" s="2" t="b">
        <f aca="false">TRUE()</f>
        <v>1</v>
      </c>
      <c r="J223" s="0" t="str">
        <f aca="false">IF(AND(CODE(MID(B223,2,1))&gt;=97,CODE(MID(B223,2,1))&lt;=122),LEFT(B223,2),LEFT(B223,1))</f>
        <v>Ca</v>
      </c>
      <c r="K223" s="0" t="n">
        <f aca="false">IF(J223="","",_xlfn.XLOOKUP(TRIM(J223),Metallic_Radius_Table!A:A,Metallic_Radius_Table!B:B))</f>
        <v>1.97</v>
      </c>
      <c r="L223" s="0" t="str">
        <f aca="false">IF(ISNUMBER(SEARCH("La",B223)),"La",
 IF(ISNUMBER(SEARCH("Nd",B223)),"Nd",
 IF(ISNUMBER(SEARCH("Eu",B223)),"Eu",
 IF(ISNUMBER(SEARCH("Gd",B223)),"Gd",""))))</f>
        <v>Eu</v>
      </c>
      <c r="M223" s="0" t="n">
        <f aca="false">IF(L223="","",_xlfn.XLOOKUP(TRIM(L223),Metallic_Radius_Table!A:A,Metallic_Radius_Table!B:B))</f>
        <v>1.99</v>
      </c>
      <c r="N223" s="0" t="str">
        <f aca="false">TRIM(LEFT(C223,FIND(",",C223)-1))</f>
        <v>Zr</v>
      </c>
      <c r="O223" s="3" t="n">
        <f aca="false">IF(N223="","",_xlfn.XLOOKUP(TRIM(N223),Metallic_Radius_Table!A:A,Metallic_Radius_Table!B:B))</f>
        <v>1.6</v>
      </c>
      <c r="P223" s="0" t="str">
        <f aca="false">TRIM(MID(C223,FIND(",",C223)+1,5))</f>
        <v>V</v>
      </c>
      <c r="Q223" s="0" t="n">
        <f aca="false">IF(P223="","",_xlfn.XLOOKUP(TRIM(P223),Metallic_Radius_Table!A:A,Metallic_Radius_Table!B:B))</f>
        <v>1.34</v>
      </c>
      <c r="R223" s="0" t="str">
        <f aca="false">IF(G223&gt;=1,   "Ferromagnetic / Ferrimagnetic",   IF(G223&gt;=0.05,      "Paramagnetic / Weakly magnetic",      "Antiferromagnetic / Diamagnetic"))</f>
        <v>Ferromagnetic / Ferrimagnetic</v>
      </c>
      <c r="U223" s="0" t="str">
        <f aca="false">IF(G223&gt;=1,
   "FM → PM (Curie-type)",
   IF(G223&lt;0.05,
      "AFM → PM (Néel-type)",
      "No long-range magnetic transition"))</f>
        <v>FM → PM (Curie-type)</v>
      </c>
    </row>
    <row r="224" customFormat="false" ht="14.25" hidden="false" customHeight="false" outlineLevel="0" collapsed="false">
      <c r="A224" s="0" t="s">
        <v>530</v>
      </c>
      <c r="B224" s="0" t="s">
        <v>531</v>
      </c>
      <c r="C224" s="0" t="s">
        <v>50</v>
      </c>
      <c r="D224" s="0" t="n">
        <v>-2.25660248472222</v>
      </c>
      <c r="E224" s="0" t="n">
        <v>0.04339175130093</v>
      </c>
      <c r="F224" s="0" t="n">
        <v>0.685099999999999</v>
      </c>
      <c r="G224" s="0" t="n">
        <v>10.0002146</v>
      </c>
      <c r="H224" s="0" t="s">
        <v>163</v>
      </c>
      <c r="I224" s="2" t="b">
        <f aca="false">TRUE()</f>
        <v>1</v>
      </c>
      <c r="J224" s="0" t="str">
        <f aca="false">IF(AND(CODE(MID(B224,2,1))&gt;=97,CODE(MID(B224,2,1))&lt;=122),LEFT(B224,2),LEFT(B224,1))</f>
        <v>Ca</v>
      </c>
      <c r="K224" s="0" t="n">
        <f aca="false">IF(J224="","",_xlfn.XLOOKUP(TRIM(J224),Metallic_Radius_Table!A:A,Metallic_Radius_Table!B:B))</f>
        <v>1.97</v>
      </c>
      <c r="L224" s="0" t="str">
        <f aca="false">IF(ISNUMBER(SEARCH("La",B224)),"La",
 IF(ISNUMBER(SEARCH("Nd",B224)),"Nd",
 IF(ISNUMBER(SEARCH("Eu",B224)),"Eu",
 IF(ISNUMBER(SEARCH("Gd",B224)),"Gd",""))))</f>
        <v/>
      </c>
      <c r="M224" s="0" t="str">
        <f aca="false">IF(L224="","",_xlfn.XLOOKUP(TRIM(L224),Metallic_Radius_Table!A:A,Metallic_Radius_Table!B:B))</f>
        <v/>
      </c>
      <c r="N224" s="0" t="str">
        <f aca="false">TRIM(LEFT(C224,FIND(",",C224)-1))</f>
        <v>Re</v>
      </c>
      <c r="O224" s="3" t="n">
        <f aca="false">IF(N224="","",_xlfn.XLOOKUP(TRIM(N224),Metallic_Radius_Table!A:A,Metallic_Radius_Table!B:B))</f>
        <v>1.37</v>
      </c>
      <c r="P224" s="0" t="str">
        <f aca="false">TRIM(MID(C224,FIND(",",C224)+1,5))</f>
        <v>Fe</v>
      </c>
      <c r="Q224" s="0" t="n">
        <f aca="false">IF(P224="","",_xlfn.XLOOKUP(TRIM(P224),Metallic_Radius_Table!A:A,Metallic_Radius_Table!B:B))</f>
        <v>1.26</v>
      </c>
      <c r="R224" s="0" t="str">
        <f aca="false">IF(G224&gt;=1,   "Ferromagnetic / Ferrimagnetic",   IF(G224&gt;=0.05,      "Paramagnetic / Weakly magnetic",      "Antiferromagnetic / Diamagnetic"))</f>
        <v>Ferromagnetic / Ferrimagnetic</v>
      </c>
      <c r="U224" s="0" t="str">
        <f aca="false">IF(G224&gt;=1,
   "FM → PM (Curie-type)",
   IF(G224&lt;0.05,
      "AFM → PM (Néel-type)",
      "No long-range magnetic transition"))</f>
        <v>FM → PM (Curie-type)</v>
      </c>
    </row>
    <row r="225" customFormat="false" ht="14.25" hidden="false" customHeight="false" outlineLevel="0" collapsed="false">
      <c r="A225" s="0" t="s">
        <v>532</v>
      </c>
      <c r="B225" s="0" t="s">
        <v>533</v>
      </c>
      <c r="C225" s="0" t="s">
        <v>53</v>
      </c>
      <c r="D225" s="0" t="n">
        <v>-2.14100436999999</v>
      </c>
      <c r="E225" s="0" t="n">
        <v>0.150562357500001</v>
      </c>
      <c r="F225" s="0" t="n">
        <v>0</v>
      </c>
      <c r="G225" s="0" t="n">
        <v>6.0035849</v>
      </c>
      <c r="H225" s="0" t="s">
        <v>111</v>
      </c>
      <c r="I225" s="2" t="b">
        <f aca="false">TRUE()</f>
        <v>1</v>
      </c>
      <c r="J225" s="0" t="str">
        <f aca="false">IF(AND(CODE(MID(B225,2,1))&gt;=97,CODE(MID(B225,2,1))&lt;=122),LEFT(B225,2),LEFT(B225,1))</f>
        <v>Ca</v>
      </c>
      <c r="K225" s="0" t="n">
        <f aca="false">IF(J225="","",_xlfn.XLOOKUP(TRIM(J225),Metallic_Radius_Table!A:A,Metallic_Radius_Table!B:B))</f>
        <v>1.97</v>
      </c>
      <c r="L225" s="0" t="str">
        <f aca="false">IF(ISNUMBER(SEARCH("La",B225)),"La",
 IF(ISNUMBER(SEARCH("Nd",B225)),"Nd",
 IF(ISNUMBER(SEARCH("Eu",B225)),"Eu",
 IF(ISNUMBER(SEARCH("Gd",B225)),"Gd",""))))</f>
        <v/>
      </c>
      <c r="M225" s="0" t="str">
        <f aca="false">IF(L225="","",_xlfn.XLOOKUP(TRIM(L225),Metallic_Radius_Table!A:A,Metallic_Radius_Table!B:B))</f>
        <v/>
      </c>
      <c r="N225" s="0" t="str">
        <f aca="false">TRIM(LEFT(C225,FIND(",",C225)-1))</f>
        <v>Fe</v>
      </c>
      <c r="O225" s="3" t="n">
        <f aca="false">IF(N225="","",_xlfn.XLOOKUP(TRIM(N225),Metallic_Radius_Table!A:A,Metallic_Radius_Table!B:B))</f>
        <v>1.26</v>
      </c>
      <c r="P225" s="0" t="str">
        <f aca="false">TRIM(MID(C225,FIND(",",C225)+1,5))</f>
        <v>W</v>
      </c>
      <c r="Q225" s="0" t="n">
        <f aca="false">IF(P225="","",_xlfn.XLOOKUP(TRIM(P225),Metallic_Radius_Table!A:A,Metallic_Radius_Table!B:B))</f>
        <v>1.41</v>
      </c>
      <c r="R225" s="0" t="str">
        <f aca="false">IF(G225&gt;=1,   "Ferromagnetic / Ferrimagnetic",   IF(G225&gt;=0.05,      "Paramagnetic / Weakly magnetic",      "Antiferromagnetic / Diamagnetic"))</f>
        <v>Ferromagnetic / Ferrimagnetic</v>
      </c>
      <c r="U225" s="0" t="str">
        <f aca="false">IF(G225&gt;=1,
   "FM → PM (Curie-type)",
   IF(G225&lt;0.05,
      "AFM → PM (Néel-type)",
      "No long-range magnetic transition"))</f>
        <v>FM → PM (Curie-type)</v>
      </c>
    </row>
    <row r="226" customFormat="false" ht="14.25" hidden="false" customHeight="false" outlineLevel="0" collapsed="false">
      <c r="A226" s="0" t="s">
        <v>534</v>
      </c>
      <c r="B226" s="0" t="s">
        <v>533</v>
      </c>
      <c r="C226" s="0" t="s">
        <v>53</v>
      </c>
      <c r="D226" s="0" t="n">
        <v>-2.14155687777777</v>
      </c>
      <c r="E226" s="0" t="n">
        <v>0.150009849722223</v>
      </c>
      <c r="F226" s="0" t="n">
        <v>0</v>
      </c>
      <c r="G226" s="0" t="n">
        <v>6</v>
      </c>
      <c r="H226" s="0" t="s">
        <v>161</v>
      </c>
      <c r="I226" s="2" t="b">
        <f aca="false">TRUE()</f>
        <v>1</v>
      </c>
      <c r="J226" s="0" t="str">
        <f aca="false">IF(AND(CODE(MID(B226,2,1))&gt;=97,CODE(MID(B226,2,1))&lt;=122),LEFT(B226,2),LEFT(B226,1))</f>
        <v>Ca</v>
      </c>
      <c r="K226" s="0" t="n">
        <f aca="false">IF(J226="","",_xlfn.XLOOKUP(TRIM(J226),Metallic_Radius_Table!A:A,Metallic_Radius_Table!B:B))</f>
        <v>1.97</v>
      </c>
      <c r="L226" s="0" t="str">
        <f aca="false">IF(ISNUMBER(SEARCH("La",B226)),"La",
 IF(ISNUMBER(SEARCH("Nd",B226)),"Nd",
 IF(ISNUMBER(SEARCH("Eu",B226)),"Eu",
 IF(ISNUMBER(SEARCH("Gd",B226)),"Gd",""))))</f>
        <v/>
      </c>
      <c r="M226" s="0" t="str">
        <f aca="false">IF(L226="","",_xlfn.XLOOKUP(TRIM(L226),Metallic_Radius_Table!A:A,Metallic_Radius_Table!B:B))</f>
        <v/>
      </c>
      <c r="N226" s="0" t="str">
        <f aca="false">TRIM(LEFT(C226,FIND(",",C226)-1))</f>
        <v>Fe</v>
      </c>
      <c r="O226" s="3" t="n">
        <f aca="false">IF(N226="","",_xlfn.XLOOKUP(TRIM(N226),Metallic_Radius_Table!A:A,Metallic_Radius_Table!B:B))</f>
        <v>1.26</v>
      </c>
      <c r="P226" s="0" t="str">
        <f aca="false">TRIM(MID(C226,FIND(",",C226)+1,5))</f>
        <v>W</v>
      </c>
      <c r="Q226" s="0" t="n">
        <f aca="false">IF(P226="","",_xlfn.XLOOKUP(TRIM(P226),Metallic_Radius_Table!A:A,Metallic_Radius_Table!B:B))</f>
        <v>1.41</v>
      </c>
      <c r="R226" s="0" t="str">
        <f aca="false">IF(G226&gt;=1,   "Ferromagnetic / Ferrimagnetic",   IF(G226&gt;=0.05,      "Paramagnetic / Weakly magnetic",      "Antiferromagnetic / Diamagnetic"))</f>
        <v>Ferromagnetic / Ferrimagnetic</v>
      </c>
      <c r="U226" s="0" t="str">
        <f aca="false">IF(G226&gt;=1,
   "FM → PM (Curie-type)",
   IF(G226&lt;0.05,
      "AFM → PM (Néel-type)",
      "No long-range magnetic transition"))</f>
        <v>FM → PM (Curie-type)</v>
      </c>
    </row>
    <row r="227" customFormat="false" ht="14.25" hidden="false" customHeight="false" outlineLevel="0" collapsed="false">
      <c r="A227" s="0" t="s">
        <v>535</v>
      </c>
      <c r="B227" s="0" t="s">
        <v>536</v>
      </c>
      <c r="C227" s="0" t="s">
        <v>498</v>
      </c>
      <c r="D227" s="0" t="n">
        <v>-2.65605649362643</v>
      </c>
      <c r="E227" s="0" t="n">
        <v>0.196896376944451</v>
      </c>
      <c r="F227" s="0" t="n">
        <v>0.391799999999999</v>
      </c>
      <c r="G227" s="0" t="n">
        <v>11.9999905</v>
      </c>
      <c r="H227" s="0" t="s">
        <v>352</v>
      </c>
      <c r="I227" s="2" t="b">
        <f aca="false">TRUE()</f>
        <v>1</v>
      </c>
      <c r="J227" s="0" t="str">
        <f aca="false">IF(AND(CODE(MID(B227,2,1))&gt;=97,CODE(MID(B227,2,1))&lt;=122),LEFT(B227,2),LEFT(B227,1))</f>
        <v>Dy</v>
      </c>
      <c r="K227" s="0" t="n">
        <f aca="false">IF(J227="","",_xlfn.XLOOKUP(TRIM(J227),Metallic_Radius_Table!A:A,Metallic_Radius_Table!B:B))</f>
        <v>1.78</v>
      </c>
      <c r="L227" s="0" t="str">
        <f aca="false">IF(ISNUMBER(SEARCH("La",B227)),"La",
 IF(ISNUMBER(SEARCH("Nd",B227)),"Nd",
 IF(ISNUMBER(SEARCH("Eu",B227)),"Eu",
 IF(ISNUMBER(SEARCH("Gd",B227)),"Gd",""))))</f>
        <v/>
      </c>
      <c r="M227" s="0" t="str">
        <f aca="false">IF(L227="","",_xlfn.XLOOKUP(TRIM(L227),Metallic_Radius_Table!A:A,Metallic_Radius_Table!B:B))</f>
        <v/>
      </c>
      <c r="N227" s="0" t="str">
        <f aca="false">TRIM(LEFT(C227,FIND(",",C227)-1))</f>
        <v>Co</v>
      </c>
      <c r="O227" s="3" t="n">
        <f aca="false">IF(N227="","",_xlfn.XLOOKUP(TRIM(N227),Metallic_Radius_Table!A:A,Metallic_Radius_Table!B:B))</f>
        <v>1.25</v>
      </c>
      <c r="P227" s="0" t="str">
        <f aca="false">TRIM(MID(C227,FIND(",",C227)+1,5))</f>
        <v>Mn</v>
      </c>
      <c r="Q227" s="0" t="n">
        <f aca="false">IF(P227="","",_xlfn.XLOOKUP(TRIM(P227),Metallic_Radius_Table!A:A,Metallic_Radius_Table!B:B))</f>
        <v>1.27</v>
      </c>
      <c r="R227" s="0" t="str">
        <f aca="false">IF(G227&gt;=1,   "Ferromagnetic / Ferrimagnetic",   IF(G227&gt;=0.05,      "Paramagnetic / Weakly magnetic",      "Antiferromagnetic / Diamagnetic"))</f>
        <v>Ferromagnetic / Ferrimagnetic</v>
      </c>
      <c r="U227" s="0" t="str">
        <f aca="false">IF(G227&gt;=1,
   "FM → PM (Curie-type)",
   IF(G227&lt;0.05,
      "AFM → PM (Néel-type)",
      "No long-range magnetic transition"))</f>
        <v>FM → PM (Curie-type)</v>
      </c>
    </row>
    <row r="228" customFormat="false" ht="14.25" hidden="false" customHeight="false" outlineLevel="0" collapsed="false">
      <c r="A228" s="0" t="s">
        <v>537</v>
      </c>
      <c r="B228" s="0" t="s">
        <v>538</v>
      </c>
      <c r="C228" s="0" t="s">
        <v>105</v>
      </c>
      <c r="D228" s="0" t="n">
        <v>-2.65071666983333</v>
      </c>
      <c r="E228" s="0" t="n">
        <v>0.032721849499996</v>
      </c>
      <c r="F228" s="0" t="n">
        <v>0</v>
      </c>
      <c r="G228" s="0" t="n">
        <v>7.9971609</v>
      </c>
      <c r="H228" s="0" t="s">
        <v>352</v>
      </c>
      <c r="I228" s="2" t="b">
        <f aca="false">TRUE()</f>
        <v>1</v>
      </c>
      <c r="J228" s="0" t="str">
        <f aca="false">IF(AND(CODE(MID(B228,2,1))&gt;=97,CODE(MID(B228,2,1))&lt;=122),LEFT(B228,2),LEFT(B228,1))</f>
        <v>Dy</v>
      </c>
      <c r="K228" s="0" t="n">
        <f aca="false">IF(J228="","",_xlfn.XLOOKUP(TRIM(J228),Metallic_Radius_Table!A:A,Metallic_Radius_Table!B:B))</f>
        <v>1.78</v>
      </c>
      <c r="L228" s="0" t="str">
        <f aca="false">IF(ISNUMBER(SEARCH("La",B228)),"La",
 IF(ISNUMBER(SEARCH("Nd",B228)),"Nd",
 IF(ISNUMBER(SEARCH("Eu",B228)),"Eu",
 IF(ISNUMBER(SEARCH("Gd",B228)),"Gd",""))))</f>
        <v/>
      </c>
      <c r="M228" s="0" t="str">
        <f aca="false">IF(L228="","",_xlfn.XLOOKUP(TRIM(L228),Metallic_Radius_Table!A:A,Metallic_Radius_Table!B:B))</f>
        <v/>
      </c>
      <c r="N228" s="0" t="str">
        <f aca="false">TRIM(LEFT(C228,FIND(",",C228)-1))</f>
        <v>Ni</v>
      </c>
      <c r="O228" s="3" t="n">
        <f aca="false">IF(N228="","",_xlfn.XLOOKUP(TRIM(N228),Metallic_Radius_Table!A:A,Metallic_Radius_Table!B:B))</f>
        <v>1.24</v>
      </c>
      <c r="P228" s="0" t="str">
        <f aca="false">TRIM(MID(C228,FIND(",",C228)+1,5))</f>
        <v>Ru</v>
      </c>
      <c r="Q228" s="0" t="n">
        <f aca="false">IF(P228="","",_xlfn.XLOOKUP(TRIM(P228),Metallic_Radius_Table!A:A,Metallic_Radius_Table!B:B))</f>
        <v>1.34</v>
      </c>
      <c r="R228" s="0" t="str">
        <f aca="false">IF(G228&gt;=1,   "Ferromagnetic / Ferrimagnetic",   IF(G228&gt;=0.05,      "Paramagnetic / Weakly magnetic",      "Antiferromagnetic / Diamagnetic"))</f>
        <v>Ferromagnetic / Ferrimagnetic</v>
      </c>
      <c r="U228" s="0" t="str">
        <f aca="false">IF(G228&gt;=1,
   "FM → PM (Curie-type)",
   IF(G228&lt;0.05,
      "AFM → PM (Néel-type)",
      "No long-range magnetic transition"))</f>
        <v>FM → PM (Curie-type)</v>
      </c>
    </row>
    <row r="229" customFormat="false" ht="14.25" hidden="false" customHeight="false" outlineLevel="0" collapsed="false">
      <c r="A229" s="0" t="s">
        <v>539</v>
      </c>
      <c r="B229" s="0" t="s">
        <v>540</v>
      </c>
      <c r="C229" s="0" t="s">
        <v>241</v>
      </c>
      <c r="D229" s="0" t="n">
        <v>-3.06145664283333</v>
      </c>
      <c r="E229" s="0" t="n">
        <v>0.023038897500006</v>
      </c>
      <c r="F229" s="0" t="n">
        <v>1.3296</v>
      </c>
      <c r="G229" s="0" t="n">
        <v>13.999983</v>
      </c>
      <c r="H229" s="0" t="s">
        <v>352</v>
      </c>
      <c r="I229" s="2" t="b">
        <f aca="false">TRUE()</f>
        <v>1</v>
      </c>
      <c r="J229" s="0" t="str">
        <f aca="false">IF(AND(CODE(MID(B229,2,1))&gt;=97,CODE(MID(B229,2,1))&lt;=122),LEFT(B229,2),LEFT(B229,1))</f>
        <v>Dy</v>
      </c>
      <c r="K229" s="0" t="n">
        <f aca="false">IF(J229="","",_xlfn.XLOOKUP(TRIM(J229),Metallic_Radius_Table!A:A,Metallic_Radius_Table!B:B))</f>
        <v>1.78</v>
      </c>
      <c r="L229" s="0" t="str">
        <f aca="false">IF(ISNUMBER(SEARCH("La",B229)),"La",
 IF(ISNUMBER(SEARCH("Nd",B229)),"Nd",
 IF(ISNUMBER(SEARCH("Eu",B229)),"Eu",
 IF(ISNUMBER(SEARCH("Gd",B229)),"Gd",""))))</f>
        <v/>
      </c>
      <c r="M229" s="0" t="str">
        <f aca="false">IF(L229="","",_xlfn.XLOOKUP(TRIM(L229),Metallic_Radius_Table!A:A,Metallic_Radius_Table!B:B))</f>
        <v/>
      </c>
      <c r="N229" s="0" t="str">
        <f aca="false">TRIM(LEFT(C229,FIND(",",C229)-1))</f>
        <v>Fe</v>
      </c>
      <c r="O229" s="3" t="n">
        <f aca="false">IF(N229="","",_xlfn.XLOOKUP(TRIM(N229),Metallic_Radius_Table!A:A,Metallic_Radius_Table!B:B))</f>
        <v>1.26</v>
      </c>
      <c r="P229" s="0" t="str">
        <f aca="false">TRIM(MID(C229,FIND(",",C229)+1,5))</f>
        <v>V</v>
      </c>
      <c r="Q229" s="0" t="n">
        <f aca="false">IF(P229="","",_xlfn.XLOOKUP(TRIM(P229),Metallic_Radius_Table!A:A,Metallic_Radius_Table!B:B))</f>
        <v>1.34</v>
      </c>
      <c r="R229" s="0" t="str">
        <f aca="false">IF(G229&gt;=1,   "Ferromagnetic / Ferrimagnetic",   IF(G229&gt;=0.05,      "Paramagnetic / Weakly magnetic",      "Antiferromagnetic / Diamagnetic"))</f>
        <v>Ferromagnetic / Ferrimagnetic</v>
      </c>
      <c r="U229" s="0" t="str">
        <f aca="false">IF(G229&gt;=1,
   "FM → PM (Curie-type)",
   IF(G229&lt;0.05,
      "AFM → PM (Néel-type)",
      "No long-range magnetic transition"))</f>
        <v>FM → PM (Curie-type)</v>
      </c>
    </row>
    <row r="230" customFormat="false" ht="14.25" hidden="false" customHeight="false" outlineLevel="0" collapsed="false">
      <c r="A230" s="0" t="s">
        <v>541</v>
      </c>
      <c r="B230" s="0" t="s">
        <v>542</v>
      </c>
      <c r="C230" s="0" t="s">
        <v>31</v>
      </c>
      <c r="D230" s="0" t="n">
        <v>-2.339215697</v>
      </c>
      <c r="E230" s="0" t="n">
        <v>0.075035380249998</v>
      </c>
      <c r="F230" s="0" t="n">
        <v>0</v>
      </c>
      <c r="G230" s="0" t="n">
        <v>26.0033202</v>
      </c>
      <c r="H230" s="0" t="s">
        <v>352</v>
      </c>
      <c r="I230" s="2" t="b">
        <f aca="false">TRUE()</f>
        <v>1</v>
      </c>
      <c r="J230" s="0" t="str">
        <f aca="false">IF(AND(CODE(MID(B230,2,1))&gt;=97,CODE(MID(B230,2,1))&lt;=122),LEFT(B230,2),LEFT(B230,1))</f>
        <v>Eu</v>
      </c>
      <c r="K230" s="0" t="n">
        <f aca="false">IF(J230="","",_xlfn.XLOOKUP(TRIM(J230),Metallic_Radius_Table!A:A,Metallic_Radius_Table!B:B))</f>
        <v>1.99</v>
      </c>
      <c r="L230" s="0" t="str">
        <f aca="false">IF(ISNUMBER(SEARCH("La",B230)),"La",
 IF(ISNUMBER(SEARCH("Nd",B230)),"Nd",
 IF(ISNUMBER(SEARCH("Eu",B230)),"Eu",
 IF(ISNUMBER(SEARCH("Gd",B230)),"Gd",""))))</f>
        <v>Eu</v>
      </c>
      <c r="M230" s="0" t="n">
        <f aca="false">IF(L230="","",_xlfn.XLOOKUP(TRIM(L230),Metallic_Radius_Table!A:A,Metallic_Radius_Table!B:B))</f>
        <v>1.99</v>
      </c>
      <c r="N230" s="0" t="str">
        <f aca="false">TRIM(LEFT(C230,FIND(",",C230)-1))</f>
        <v>Co</v>
      </c>
      <c r="O230" s="3" t="n">
        <f aca="false">IF(N230="","",_xlfn.XLOOKUP(TRIM(N230),Metallic_Radius_Table!A:A,Metallic_Radius_Table!B:B))</f>
        <v>1.25</v>
      </c>
      <c r="P230" s="0" t="str">
        <f aca="false">TRIM(MID(C230,FIND(",",C230)+1,5))</f>
        <v>Ru</v>
      </c>
      <c r="Q230" s="0" t="n">
        <f aca="false">IF(P230="","",_xlfn.XLOOKUP(TRIM(P230),Metallic_Radius_Table!A:A,Metallic_Radius_Table!B:B))</f>
        <v>1.34</v>
      </c>
      <c r="R230" s="0" t="str">
        <f aca="false">IF(G230&gt;=1,   "Ferromagnetic / Ferrimagnetic",   IF(G230&gt;=0.05,      "Paramagnetic / Weakly magnetic",      "Antiferromagnetic / Diamagnetic"))</f>
        <v>Ferromagnetic / Ferrimagnetic</v>
      </c>
      <c r="U230" s="0" t="str">
        <f aca="false">IF(G230&gt;=1,
   "FM → PM (Curie-type)",
   IF(G230&lt;0.05,
      "AFM → PM (Néel-type)",
      "No long-range magnetic transition"))</f>
        <v>FM → PM (Curie-type)</v>
      </c>
    </row>
    <row r="231" customFormat="false" ht="14.25" hidden="false" customHeight="false" outlineLevel="0" collapsed="false">
      <c r="A231" s="0" t="s">
        <v>543</v>
      </c>
      <c r="B231" s="0" t="s">
        <v>544</v>
      </c>
      <c r="C231" s="0" t="s">
        <v>35</v>
      </c>
      <c r="D231" s="0" t="n">
        <v>-2.478047705</v>
      </c>
      <c r="E231" s="0" t="n">
        <v>0.125529957499997</v>
      </c>
      <c r="F231" s="0" t="n">
        <v>0</v>
      </c>
      <c r="G231" s="0" t="n">
        <v>16.2706353</v>
      </c>
      <c r="H231" s="0" t="s">
        <v>22</v>
      </c>
      <c r="I231" s="2" t="b">
        <f aca="false">TRUE()</f>
        <v>1</v>
      </c>
      <c r="J231" s="0" t="str">
        <f aca="false">IF(AND(CODE(MID(B231,2,1))&gt;=97,CODE(MID(B231,2,1))&lt;=122),LEFT(B231,2),LEFT(B231,1))</f>
        <v>Eu</v>
      </c>
      <c r="K231" s="0" t="n">
        <f aca="false">IF(J231="","",_xlfn.XLOOKUP(TRIM(J231),Metallic_Radius_Table!A:A,Metallic_Radius_Table!B:B))</f>
        <v>1.99</v>
      </c>
      <c r="L231" s="0" t="str">
        <f aca="false">IF(ISNUMBER(SEARCH("La",B231)),"La",
 IF(ISNUMBER(SEARCH("Nd",B231)),"Nd",
 IF(ISNUMBER(SEARCH("Eu",B231)),"Eu",
 IF(ISNUMBER(SEARCH("Gd",B231)),"Gd",""))))</f>
        <v>Eu</v>
      </c>
      <c r="M231" s="0" t="n">
        <f aca="false">IF(L231="","",_xlfn.XLOOKUP(TRIM(L231),Metallic_Radius_Table!A:A,Metallic_Radius_Table!B:B))</f>
        <v>1.99</v>
      </c>
      <c r="N231" s="0" t="str">
        <f aca="false">TRIM(LEFT(C231,FIND(",",C231)-1))</f>
        <v>Co</v>
      </c>
      <c r="O231" s="3" t="n">
        <f aca="false">IF(N231="","",_xlfn.XLOOKUP(TRIM(N231),Metallic_Radius_Table!A:A,Metallic_Radius_Table!B:B))</f>
        <v>1.25</v>
      </c>
      <c r="P231" s="0" t="str">
        <f aca="false">TRIM(MID(C231,FIND(",",C231)+1,5))</f>
        <v>W</v>
      </c>
      <c r="Q231" s="0" t="n">
        <f aca="false">IF(P231="","",_xlfn.XLOOKUP(TRIM(P231),Metallic_Radius_Table!A:A,Metallic_Radius_Table!B:B))</f>
        <v>1.41</v>
      </c>
      <c r="R231" s="0" t="str">
        <f aca="false">IF(G231&gt;=1,   "Ferromagnetic / Ferrimagnetic",   IF(G231&gt;=0.05,      "Paramagnetic / Weakly magnetic",      "Antiferromagnetic / Diamagnetic"))</f>
        <v>Ferromagnetic / Ferrimagnetic</v>
      </c>
      <c r="U231" s="0" t="str">
        <f aca="false">IF(G231&gt;=1,
   "FM → PM (Curie-type)",
   IF(G231&lt;0.05,
      "AFM → PM (Néel-type)",
      "No long-range magnetic transition"))</f>
        <v>FM → PM (Curie-type)</v>
      </c>
    </row>
    <row r="232" customFormat="false" ht="14.25" hidden="false" customHeight="false" outlineLevel="0" collapsed="false">
      <c r="A232" s="0" t="s">
        <v>545</v>
      </c>
      <c r="B232" s="0" t="s">
        <v>546</v>
      </c>
      <c r="C232" s="0" t="s">
        <v>53</v>
      </c>
      <c r="D232" s="0" t="n">
        <v>-2.521126592</v>
      </c>
      <c r="E232" s="0" t="n">
        <v>0.113768692249994</v>
      </c>
      <c r="F232" s="0" t="n">
        <v>0</v>
      </c>
      <c r="G232" s="0" t="n">
        <v>17.5696206</v>
      </c>
      <c r="H232" s="0" t="s">
        <v>22</v>
      </c>
      <c r="I232" s="2" t="b">
        <f aca="false">TRUE()</f>
        <v>1</v>
      </c>
      <c r="J232" s="0" t="str">
        <f aca="false">IF(AND(CODE(MID(B232,2,1))&gt;=97,CODE(MID(B232,2,1))&lt;=122),LEFT(B232,2),LEFT(B232,1))</f>
        <v>Eu</v>
      </c>
      <c r="K232" s="0" t="n">
        <f aca="false">IF(J232="","",_xlfn.XLOOKUP(TRIM(J232),Metallic_Radius_Table!A:A,Metallic_Radius_Table!B:B))</f>
        <v>1.99</v>
      </c>
      <c r="L232" s="0" t="str">
        <f aca="false">IF(ISNUMBER(SEARCH("La",B232)),"La",
 IF(ISNUMBER(SEARCH("Nd",B232)),"Nd",
 IF(ISNUMBER(SEARCH("Eu",B232)),"Eu",
 IF(ISNUMBER(SEARCH("Gd",B232)),"Gd",""))))</f>
        <v>Eu</v>
      </c>
      <c r="M232" s="0" t="n">
        <f aca="false">IF(L232="","",_xlfn.XLOOKUP(TRIM(L232),Metallic_Radius_Table!A:A,Metallic_Radius_Table!B:B))</f>
        <v>1.99</v>
      </c>
      <c r="N232" s="0" t="str">
        <f aca="false">TRIM(LEFT(C232,FIND(",",C232)-1))</f>
        <v>Fe</v>
      </c>
      <c r="O232" s="3" t="n">
        <f aca="false">IF(N232="","",_xlfn.XLOOKUP(TRIM(N232),Metallic_Radius_Table!A:A,Metallic_Radius_Table!B:B))</f>
        <v>1.26</v>
      </c>
      <c r="P232" s="0" t="str">
        <f aca="false">TRIM(MID(C232,FIND(",",C232)+1,5))</f>
        <v>W</v>
      </c>
      <c r="Q232" s="0" t="n">
        <f aca="false">IF(P232="","",_xlfn.XLOOKUP(TRIM(P232),Metallic_Radius_Table!A:A,Metallic_Radius_Table!B:B))</f>
        <v>1.41</v>
      </c>
      <c r="R232" s="0" t="str">
        <f aca="false">IF(G232&gt;=1,   "Ferromagnetic / Ferrimagnetic",   IF(G232&gt;=0.05,      "Paramagnetic / Weakly magnetic",      "Antiferromagnetic / Diamagnetic"))</f>
        <v>Ferromagnetic / Ferrimagnetic</v>
      </c>
      <c r="U232" s="0" t="str">
        <f aca="false">IF(G232&gt;=1,
   "FM → PM (Curie-type)",
   IF(G232&lt;0.05,
      "AFM → PM (Néel-type)",
      "No long-range magnetic transition"))</f>
        <v>FM → PM (Curie-type)</v>
      </c>
    </row>
    <row r="233" customFormat="false" ht="14.25" hidden="false" customHeight="false" outlineLevel="0" collapsed="false">
      <c r="A233" s="0" t="s">
        <v>547</v>
      </c>
      <c r="B233" s="0" t="s">
        <v>548</v>
      </c>
      <c r="C233" s="0" t="s">
        <v>549</v>
      </c>
      <c r="D233" s="0" t="n">
        <v>-3.06860048</v>
      </c>
      <c r="E233" s="0" t="n">
        <v>0.156232988249996</v>
      </c>
      <c r="F233" s="0" t="n">
        <v>0</v>
      </c>
      <c r="G233" s="0" t="n">
        <v>18.0000008</v>
      </c>
      <c r="H233" s="0" t="s">
        <v>22</v>
      </c>
      <c r="I233" s="2" t="b">
        <f aca="false">TRUE()</f>
        <v>1</v>
      </c>
      <c r="J233" s="0" t="str">
        <f aca="false">IF(AND(CODE(MID(B233,2,1))&gt;=97,CODE(MID(B233,2,1))&lt;=122),LEFT(B233,2),LEFT(B233,1))</f>
        <v>Eu</v>
      </c>
      <c r="K233" s="0" t="n">
        <f aca="false">IF(J233="","",_xlfn.XLOOKUP(TRIM(J233),Metallic_Radius_Table!A:A,Metallic_Radius_Table!B:B))</f>
        <v>1.99</v>
      </c>
      <c r="L233" s="0" t="str">
        <f aca="false">IF(ISNUMBER(SEARCH("La",B233)),"La",
 IF(ISNUMBER(SEARCH("Nd",B233)),"Nd",
 IF(ISNUMBER(SEARCH("Eu",B233)),"Eu",
 IF(ISNUMBER(SEARCH("Gd",B233)),"Gd",""))))</f>
        <v>Eu</v>
      </c>
      <c r="M233" s="0" t="n">
        <f aca="false">IF(L233="","",_xlfn.XLOOKUP(TRIM(L233),Metallic_Radius_Table!A:A,Metallic_Radius_Table!B:B))</f>
        <v>1.99</v>
      </c>
      <c r="N233" s="0" t="str">
        <f aca="false">TRIM(LEFT(C233,FIND(",",C233)-1))</f>
        <v>Hf</v>
      </c>
      <c r="O233" s="3" t="n">
        <f aca="false">IF(N233="","",_xlfn.XLOOKUP(TRIM(N233),Metallic_Radius_Table!A:A,Metallic_Radius_Table!B:B))</f>
        <v>1.59</v>
      </c>
      <c r="P233" s="0" t="str">
        <f aca="false">TRIM(MID(C233,FIND(",",C233)+1,5))</f>
        <v>Fe</v>
      </c>
      <c r="Q233" s="0" t="n">
        <f aca="false">IF(P233="","",_xlfn.XLOOKUP(TRIM(P233),Metallic_Radius_Table!A:A,Metallic_Radius_Table!B:B))</f>
        <v>1.26</v>
      </c>
      <c r="R233" s="0" t="str">
        <f aca="false">IF(G233&gt;=1,   "Ferromagnetic / Ferrimagnetic",   IF(G233&gt;=0.05,      "Paramagnetic / Weakly magnetic",      "Antiferromagnetic / Diamagnetic"))</f>
        <v>Ferromagnetic / Ferrimagnetic</v>
      </c>
      <c r="U233" s="0" t="str">
        <f aca="false">IF(G233&gt;=1,
   "FM → PM (Curie-type)",
   IF(G233&lt;0.05,
      "AFM → PM (Néel-type)",
      "No long-range magnetic transition"))</f>
        <v>FM → PM (Curie-type)</v>
      </c>
    </row>
    <row r="234" customFormat="false" ht="14.25" hidden="false" customHeight="false" outlineLevel="0" collapsed="false">
      <c r="A234" s="0" t="s">
        <v>550</v>
      </c>
      <c r="B234" s="0" t="s">
        <v>551</v>
      </c>
      <c r="C234" s="0" t="s">
        <v>552</v>
      </c>
      <c r="D234" s="0" t="n">
        <v>-3.389352887</v>
      </c>
      <c r="E234" s="0" t="n">
        <v>0.04226190400001</v>
      </c>
      <c r="F234" s="0" t="n">
        <v>0</v>
      </c>
      <c r="G234" s="0" t="n">
        <v>1.267519</v>
      </c>
      <c r="H234" s="0" t="s">
        <v>22</v>
      </c>
      <c r="I234" s="2" t="b">
        <f aca="false">TRUE()</f>
        <v>1</v>
      </c>
      <c r="J234" s="0" t="str">
        <f aca="false">IF(AND(CODE(MID(B234,2,1))&gt;=97,CODE(MID(B234,2,1))&lt;=122),LEFT(B234,2),LEFT(B234,1))</f>
        <v>Eu</v>
      </c>
      <c r="K234" s="0" t="n">
        <f aca="false">IF(J234="","",_xlfn.XLOOKUP(TRIM(J234),Metallic_Radius_Table!A:A,Metallic_Radius_Table!B:B))</f>
        <v>1.99</v>
      </c>
      <c r="L234" s="0" t="str">
        <f aca="false">IF(ISNUMBER(SEARCH("La",B234)),"La",
 IF(ISNUMBER(SEARCH("Nd",B234)),"Nd",
 IF(ISNUMBER(SEARCH("Eu",B234)),"Eu",
 IF(ISNUMBER(SEARCH("Gd",B234)),"Gd",""))))</f>
        <v>Eu</v>
      </c>
      <c r="M234" s="0" t="n">
        <f aca="false">IF(L234="","",_xlfn.XLOOKUP(TRIM(L234),Metallic_Radius_Table!A:A,Metallic_Radius_Table!B:B))</f>
        <v>1.99</v>
      </c>
      <c r="N234" s="0" t="str">
        <f aca="false">TRIM(LEFT(C234,FIND(",",C234)-1))</f>
        <v>Hf</v>
      </c>
      <c r="O234" s="3" t="n">
        <f aca="false">IF(N234="","",_xlfn.XLOOKUP(TRIM(N234),Metallic_Radius_Table!A:A,Metallic_Radius_Table!B:B))</f>
        <v>1.59</v>
      </c>
      <c r="P234" s="0" t="str">
        <f aca="false">TRIM(MID(C234,FIND(",",C234)+1,5))</f>
        <v>Nb</v>
      </c>
      <c r="Q234" s="0" t="n">
        <f aca="false">IF(P234="","",_xlfn.XLOOKUP(TRIM(P234),Metallic_Radius_Table!A:A,Metallic_Radius_Table!B:B))</f>
        <v>1.46</v>
      </c>
      <c r="R234" s="0" t="str">
        <f aca="false">IF(G234&gt;=1,   "Ferromagnetic / Ferrimagnetic",   IF(G234&gt;=0.05,      "Paramagnetic / Weakly magnetic",      "Antiferromagnetic / Diamagnetic"))</f>
        <v>Ferromagnetic / Ferrimagnetic</v>
      </c>
      <c r="U234" s="0" t="str">
        <f aca="false">IF(G234&gt;=1,
   "FM → PM (Curie-type)",
   IF(G234&lt;0.05,
      "AFM → PM (Néel-type)",
      "No long-range magnetic transition"))</f>
        <v>FM → PM (Curie-type)</v>
      </c>
    </row>
    <row r="235" customFormat="false" ht="14.25" hidden="false" customHeight="false" outlineLevel="0" collapsed="false">
      <c r="A235" s="0" t="s">
        <v>553</v>
      </c>
      <c r="B235" s="0" t="s">
        <v>554</v>
      </c>
      <c r="C235" s="0" t="s">
        <v>148</v>
      </c>
      <c r="D235" s="0" t="n">
        <v>-3.62209995733333</v>
      </c>
      <c r="E235" s="0" t="n">
        <v>0.016994092500002</v>
      </c>
      <c r="F235" s="0" t="n">
        <v>0.003499999999999</v>
      </c>
      <c r="G235" s="0" t="n">
        <v>13.9542585</v>
      </c>
      <c r="H235" s="0" t="s">
        <v>22</v>
      </c>
      <c r="I235" s="2" t="b">
        <f aca="false">TRUE()</f>
        <v>1</v>
      </c>
      <c r="J235" s="0" t="str">
        <f aca="false">IF(AND(CODE(MID(B235,2,1))&gt;=97,CODE(MID(B235,2,1))&lt;=122),LEFT(B235,2),LEFT(B235,1))</f>
        <v>Eu</v>
      </c>
      <c r="K235" s="0" t="n">
        <f aca="false">IF(J235="","",_xlfn.XLOOKUP(TRIM(J235),Metallic_Radius_Table!A:A,Metallic_Radius_Table!B:B))</f>
        <v>1.99</v>
      </c>
      <c r="L235" s="0" t="str">
        <f aca="false">IF(ISNUMBER(SEARCH("La",B235)),"La",
 IF(ISNUMBER(SEARCH("Nd",B235)),"Nd",
 IF(ISNUMBER(SEARCH("Eu",B235)),"Eu",
 IF(ISNUMBER(SEARCH("Gd",B235)),"Gd",""))))</f>
        <v>Eu</v>
      </c>
      <c r="M235" s="0" t="n">
        <f aca="false">IF(L235="","",_xlfn.XLOOKUP(TRIM(L235),Metallic_Radius_Table!A:A,Metallic_Radius_Table!B:B))</f>
        <v>1.99</v>
      </c>
      <c r="N235" s="0" t="str">
        <f aca="false">TRIM(LEFT(C235,FIND(",",C235)-1))</f>
        <v>Hf</v>
      </c>
      <c r="O235" s="3" t="n">
        <f aca="false">IF(N235="","",_xlfn.XLOOKUP(TRIM(N235),Metallic_Radius_Table!A:A,Metallic_Radius_Table!B:B))</f>
        <v>1.59</v>
      </c>
      <c r="P235" s="0" t="str">
        <f aca="false">TRIM(MID(C235,FIND(",",C235)+1,5))</f>
        <v>Ti</v>
      </c>
      <c r="Q235" s="0" t="n">
        <f aca="false">IF(P235="","",_xlfn.XLOOKUP(TRIM(P235),Metallic_Radius_Table!A:A,Metallic_Radius_Table!B:B))</f>
        <v>1.47</v>
      </c>
      <c r="R235" s="0" t="str">
        <f aca="false">IF(G235&gt;=1,   "Ferromagnetic / Ferrimagnetic",   IF(G235&gt;=0.05,      "Paramagnetic / Weakly magnetic",      "Antiferromagnetic / Diamagnetic"))</f>
        <v>Ferromagnetic / Ferrimagnetic</v>
      </c>
      <c r="U235" s="0" t="str">
        <f aca="false">IF(G235&gt;=1,
   "FM → PM (Curie-type)",
   IF(G235&lt;0.05,
      "AFM → PM (Néel-type)",
      "No long-range magnetic transition"))</f>
        <v>FM → PM (Curie-type)</v>
      </c>
    </row>
    <row r="236" customFormat="false" ht="14.25" hidden="false" customHeight="false" outlineLevel="0" collapsed="false">
      <c r="A236" s="0" t="s">
        <v>555</v>
      </c>
      <c r="B236" s="0" t="s">
        <v>556</v>
      </c>
      <c r="C236" s="0" t="s">
        <v>513</v>
      </c>
      <c r="D236" s="0" t="n">
        <v>-3.305448941</v>
      </c>
      <c r="E236" s="0" t="n">
        <v>0.05667760725001</v>
      </c>
      <c r="F236" s="0" t="n">
        <v>0</v>
      </c>
      <c r="G236" s="0" t="n">
        <v>14.9999999</v>
      </c>
      <c r="H236" s="0" t="s">
        <v>22</v>
      </c>
      <c r="I236" s="2" t="b">
        <f aca="false">TRUE()</f>
        <v>1</v>
      </c>
      <c r="J236" s="0" t="str">
        <f aca="false">IF(AND(CODE(MID(B236,2,1))&gt;=97,CODE(MID(B236,2,1))&lt;=122),LEFT(B236,2),LEFT(B236,1))</f>
        <v>Eu</v>
      </c>
      <c r="K236" s="0" t="n">
        <f aca="false">IF(J236="","",_xlfn.XLOOKUP(TRIM(J236),Metallic_Radius_Table!A:A,Metallic_Radius_Table!B:B))</f>
        <v>1.99</v>
      </c>
      <c r="L236" s="0" t="str">
        <f aca="false">IF(ISNUMBER(SEARCH("La",B236)),"La",
 IF(ISNUMBER(SEARCH("Nd",B236)),"Nd",
 IF(ISNUMBER(SEARCH("Eu",B236)),"Eu",
 IF(ISNUMBER(SEARCH("Gd",B236)),"Gd",""))))</f>
        <v>Eu</v>
      </c>
      <c r="M236" s="0" t="n">
        <f aca="false">IF(L236="","",_xlfn.XLOOKUP(TRIM(L236),Metallic_Radius_Table!A:A,Metallic_Radius_Table!B:B))</f>
        <v>1.99</v>
      </c>
      <c r="N236" s="0" t="str">
        <f aca="false">TRIM(LEFT(C236,FIND(",",C236)-1))</f>
        <v>Hf</v>
      </c>
      <c r="O236" s="3" t="n">
        <f aca="false">IF(N236="","",_xlfn.XLOOKUP(TRIM(N236),Metallic_Radius_Table!A:A,Metallic_Radius_Table!B:B))</f>
        <v>1.59</v>
      </c>
      <c r="P236" s="0" t="str">
        <f aca="false">TRIM(MID(C236,FIND(",",C236)+1,5))</f>
        <v>V</v>
      </c>
      <c r="Q236" s="0" t="n">
        <f aca="false">IF(P236="","",_xlfn.XLOOKUP(TRIM(P236),Metallic_Radius_Table!A:A,Metallic_Radius_Table!B:B))</f>
        <v>1.34</v>
      </c>
      <c r="R236" s="0" t="str">
        <f aca="false">IF(G236&gt;=1,   "Ferromagnetic / Ferrimagnetic",   IF(G236&gt;=0.05,      "Paramagnetic / Weakly magnetic",      "Antiferromagnetic / Diamagnetic"))</f>
        <v>Ferromagnetic / Ferrimagnetic</v>
      </c>
      <c r="U236" s="0" t="str">
        <f aca="false">IF(G236&gt;=1,
   "FM → PM (Curie-type)",
   IF(G236&lt;0.05,
      "AFM → PM (Néel-type)",
      "No long-range magnetic transition"))</f>
        <v>FM → PM (Curie-type)</v>
      </c>
    </row>
    <row r="237" customFormat="false" ht="14.25" hidden="false" customHeight="false" outlineLevel="0" collapsed="false">
      <c r="A237" s="0" t="s">
        <v>557</v>
      </c>
      <c r="B237" s="0" t="s">
        <v>558</v>
      </c>
      <c r="C237" s="0" t="s">
        <v>117</v>
      </c>
      <c r="D237" s="0" t="n">
        <v>-3.07431393</v>
      </c>
      <c r="E237" s="0" t="n">
        <v>0.159715639499994</v>
      </c>
      <c r="F237" s="0" t="n">
        <v>0</v>
      </c>
      <c r="G237" s="0" t="n">
        <v>15.9999995</v>
      </c>
      <c r="H237" s="0" t="s">
        <v>22</v>
      </c>
      <c r="I237" s="2" t="b">
        <f aca="false">TRUE()</f>
        <v>1</v>
      </c>
      <c r="J237" s="0" t="str">
        <f aca="false">IF(AND(CODE(MID(B237,2,1))&gt;=97,CODE(MID(B237,2,1))&lt;=122),LEFT(B237,2),LEFT(B237,1))</f>
        <v>Eu</v>
      </c>
      <c r="K237" s="0" t="n">
        <f aca="false">IF(J237="","",_xlfn.XLOOKUP(TRIM(J237),Metallic_Radius_Table!A:A,Metallic_Radius_Table!B:B))</f>
        <v>1.99</v>
      </c>
      <c r="L237" s="0" t="str">
        <f aca="false">IF(ISNUMBER(SEARCH("La",B237)),"La",
 IF(ISNUMBER(SEARCH("Nd",B237)),"Nd",
 IF(ISNUMBER(SEARCH("Eu",B237)),"Eu",
 IF(ISNUMBER(SEARCH("Gd",B237)),"Gd",""))))</f>
        <v>Eu</v>
      </c>
      <c r="M237" s="0" t="n">
        <f aca="false">IF(L237="","",_xlfn.XLOOKUP(TRIM(L237),Metallic_Radius_Table!A:A,Metallic_Radius_Table!B:B))</f>
        <v>1.99</v>
      </c>
      <c r="N237" s="0" t="str">
        <f aca="false">TRIM(LEFT(C237,FIND(",",C237)-1))</f>
        <v>Hf</v>
      </c>
      <c r="O237" s="3" t="n">
        <f aca="false">IF(N237="","",_xlfn.XLOOKUP(TRIM(N237),Metallic_Radius_Table!A:A,Metallic_Radius_Table!B:B))</f>
        <v>1.59</v>
      </c>
      <c r="P237" s="0" t="str">
        <f aca="false">TRIM(MID(C237,FIND(",",C237)+1,5))</f>
        <v>W</v>
      </c>
      <c r="Q237" s="0" t="n">
        <f aca="false">IF(P237="","",_xlfn.XLOOKUP(TRIM(P237),Metallic_Radius_Table!A:A,Metallic_Radius_Table!B:B))</f>
        <v>1.41</v>
      </c>
      <c r="R237" s="0" t="str">
        <f aca="false">IF(G237&gt;=1,   "Ferromagnetic / Ferrimagnetic",   IF(G237&gt;=0.05,      "Paramagnetic / Weakly magnetic",      "Antiferromagnetic / Diamagnetic"))</f>
        <v>Ferromagnetic / Ferrimagnetic</v>
      </c>
      <c r="U237" s="0" t="str">
        <f aca="false">IF(G237&gt;=1,
   "FM → PM (Curie-type)",
   IF(G237&lt;0.05,
      "AFM → PM (Néel-type)",
      "No long-range magnetic transition"))</f>
        <v>FM → PM (Curie-type)</v>
      </c>
    </row>
    <row r="238" customFormat="false" ht="14.25" hidden="false" customHeight="false" outlineLevel="0" collapsed="false">
      <c r="A238" s="0" t="s">
        <v>559</v>
      </c>
      <c r="B238" s="0" t="s">
        <v>560</v>
      </c>
      <c r="C238" s="0" t="s">
        <v>561</v>
      </c>
      <c r="D238" s="0" t="n">
        <v>-3.633371646</v>
      </c>
      <c r="E238" s="0" t="n">
        <v>0.046556860250001</v>
      </c>
      <c r="F238" s="0" t="n">
        <v>0.3481</v>
      </c>
      <c r="G238" s="0" t="n">
        <v>13.9999999</v>
      </c>
      <c r="H238" s="0" t="s">
        <v>22</v>
      </c>
      <c r="I238" s="2" t="b">
        <f aca="false">TRUE()</f>
        <v>1</v>
      </c>
      <c r="J238" s="0" t="str">
        <f aca="false">IF(AND(CODE(MID(B238,2,1))&gt;=97,CODE(MID(B238,2,1))&lt;=122),LEFT(B238,2),LEFT(B238,1))</f>
        <v>Eu</v>
      </c>
      <c r="K238" s="0" t="n">
        <f aca="false">IF(J238="","",_xlfn.XLOOKUP(TRIM(J238),Metallic_Radius_Table!A:A,Metallic_Radius_Table!B:B))</f>
        <v>1.99</v>
      </c>
      <c r="L238" s="0" t="str">
        <f aca="false">IF(ISNUMBER(SEARCH("La",B238)),"La",
 IF(ISNUMBER(SEARCH("Nd",B238)),"Nd",
 IF(ISNUMBER(SEARCH("Eu",B238)),"Eu",
 IF(ISNUMBER(SEARCH("Gd",B238)),"Gd",""))))</f>
        <v>Eu</v>
      </c>
      <c r="M238" s="0" t="n">
        <f aca="false">IF(L238="","",_xlfn.XLOOKUP(TRIM(L238),Metallic_Radius_Table!A:A,Metallic_Radius_Table!B:B))</f>
        <v>1.99</v>
      </c>
      <c r="N238" s="0" t="str">
        <f aca="false">TRIM(LEFT(C238,FIND(",",C238)-1))</f>
        <v>Hf</v>
      </c>
      <c r="O238" s="3" t="n">
        <f aca="false">IF(N238="","",_xlfn.XLOOKUP(TRIM(N238),Metallic_Radius_Table!A:A,Metallic_Radius_Table!B:B))</f>
        <v>1.59</v>
      </c>
      <c r="P238" s="0" t="str">
        <f aca="false">TRIM(MID(C238,FIND(",",C238)+1,5))</f>
        <v>Zr</v>
      </c>
      <c r="Q238" s="0" t="n">
        <f aca="false">IF(P238="","",_xlfn.XLOOKUP(TRIM(P238),Metallic_Radius_Table!A:A,Metallic_Radius_Table!B:B))</f>
        <v>1.6</v>
      </c>
      <c r="R238" s="0" t="str">
        <f aca="false">IF(G238&gt;=1,   "Ferromagnetic / Ferrimagnetic",   IF(G238&gt;=0.05,      "Paramagnetic / Weakly magnetic",      "Antiferromagnetic / Diamagnetic"))</f>
        <v>Ferromagnetic / Ferrimagnetic</v>
      </c>
      <c r="U238" s="0" t="str">
        <f aca="false">IF(G238&gt;=1,
   "FM → PM (Curie-type)",
   IF(G238&lt;0.05,
      "AFM → PM (Néel-type)",
      "No long-range magnetic transition"))</f>
        <v>FM → PM (Curie-type)</v>
      </c>
    </row>
    <row r="239" customFormat="false" ht="14.25" hidden="false" customHeight="false" outlineLevel="0" collapsed="false">
      <c r="A239" s="0" t="s">
        <v>562</v>
      </c>
      <c r="B239" s="0" t="s">
        <v>563</v>
      </c>
      <c r="C239" s="0" t="s">
        <v>564</v>
      </c>
      <c r="D239" s="0" t="n">
        <v>-2.4150232312931</v>
      </c>
      <c r="E239" s="0" t="n">
        <v>0.090730552083327</v>
      </c>
      <c r="F239" s="0" t="n">
        <v>0</v>
      </c>
      <c r="G239" s="0" t="n">
        <v>31.9999204</v>
      </c>
      <c r="H239" s="0" t="s">
        <v>352</v>
      </c>
      <c r="I239" s="2" t="b">
        <f aca="false">TRUE()</f>
        <v>1</v>
      </c>
      <c r="J239" s="0" t="str">
        <f aca="false">IF(AND(CODE(MID(B239,2,1))&gt;=97,CODE(MID(B239,2,1))&lt;=122),LEFT(B239,2),LEFT(B239,1))</f>
        <v>Eu</v>
      </c>
      <c r="K239" s="0" t="n">
        <f aca="false">IF(J239="","",_xlfn.XLOOKUP(TRIM(J239),Metallic_Radius_Table!A:A,Metallic_Radius_Table!B:B))</f>
        <v>1.99</v>
      </c>
      <c r="L239" s="0" t="str">
        <f aca="false">IF(ISNUMBER(SEARCH("La",B239)),"La",
 IF(ISNUMBER(SEARCH("Nd",B239)),"Nd",
 IF(ISNUMBER(SEARCH("Eu",B239)),"Eu",
 IF(ISNUMBER(SEARCH("Gd",B239)),"Gd",""))))</f>
        <v>Eu</v>
      </c>
      <c r="M239" s="0" t="n">
        <f aca="false">IF(L239="","",_xlfn.XLOOKUP(TRIM(L239),Metallic_Radius_Table!A:A,Metallic_Radius_Table!B:B))</f>
        <v>1.99</v>
      </c>
      <c r="N239" s="0" t="str">
        <f aca="false">TRIM(LEFT(C239,FIND(",",C239)-1))</f>
        <v>Mn</v>
      </c>
      <c r="O239" s="3" t="n">
        <f aca="false">IF(N239="","",_xlfn.XLOOKUP(TRIM(N239),Metallic_Radius_Table!A:A,Metallic_Radius_Table!B:B))</f>
        <v>1.27</v>
      </c>
      <c r="P239" s="0" t="str">
        <f aca="false">TRIM(MID(C239,FIND(",",C239)+1,5))</f>
        <v>Rh</v>
      </c>
      <c r="Q239" s="0" t="n">
        <f aca="false">IF(P239="","",_xlfn.XLOOKUP(TRIM(P239),Metallic_Radius_Table!A:A,Metallic_Radius_Table!B:B))</f>
        <v>1.34</v>
      </c>
      <c r="R239" s="0" t="str">
        <f aca="false">IF(G239&gt;=1,   "Ferromagnetic / Ferrimagnetic",   IF(G239&gt;=0.05,      "Paramagnetic / Weakly magnetic",      "Antiferromagnetic / Diamagnetic"))</f>
        <v>Ferromagnetic / Ferrimagnetic</v>
      </c>
      <c r="U239" s="0" t="str">
        <f aca="false">IF(G239&gt;=1,
   "FM → PM (Curie-type)",
   IF(G239&lt;0.05,
      "AFM → PM (Néel-type)",
      "No long-range magnetic transition"))</f>
        <v>FM → PM (Curie-type)</v>
      </c>
    </row>
    <row r="240" customFormat="false" ht="14.25" hidden="false" customHeight="false" outlineLevel="0" collapsed="false">
      <c r="A240" s="0" t="s">
        <v>565</v>
      </c>
      <c r="B240" s="0" t="s">
        <v>566</v>
      </c>
      <c r="C240" s="0" t="s">
        <v>79</v>
      </c>
      <c r="D240" s="0" t="n">
        <v>-2.6748747717931</v>
      </c>
      <c r="E240" s="0" t="n">
        <v>0.069843946999998</v>
      </c>
      <c r="F240" s="0" t="n">
        <v>0.387599999999999</v>
      </c>
      <c r="G240" s="0" t="n">
        <v>19.0000014</v>
      </c>
      <c r="H240" s="0" t="s">
        <v>22</v>
      </c>
      <c r="I240" s="2" t="b">
        <f aca="false">TRUE()</f>
        <v>1</v>
      </c>
      <c r="J240" s="0" t="str">
        <f aca="false">IF(AND(CODE(MID(B240,2,1))&gt;=97,CODE(MID(B240,2,1))&lt;=122),LEFT(B240,2),LEFT(B240,1))</f>
        <v>Eu</v>
      </c>
      <c r="K240" s="0" t="n">
        <f aca="false">IF(J240="","",_xlfn.XLOOKUP(TRIM(J240),Metallic_Radius_Table!A:A,Metallic_Radius_Table!B:B))</f>
        <v>1.99</v>
      </c>
      <c r="L240" s="0" t="str">
        <f aca="false">IF(ISNUMBER(SEARCH("La",B240)),"La",
 IF(ISNUMBER(SEARCH("Nd",B240)),"Nd",
 IF(ISNUMBER(SEARCH("Eu",B240)),"Eu",
 IF(ISNUMBER(SEARCH("Gd",B240)),"Gd",""))))</f>
        <v>Eu</v>
      </c>
      <c r="M240" s="0" t="n">
        <f aca="false">IF(L240="","",_xlfn.XLOOKUP(TRIM(L240),Metallic_Radius_Table!A:A,Metallic_Radius_Table!B:B))</f>
        <v>1.99</v>
      </c>
      <c r="N240" s="0" t="str">
        <f aca="false">TRIM(LEFT(C240,FIND(",",C240)-1))</f>
        <v>Mn</v>
      </c>
      <c r="O240" s="3" t="n">
        <f aca="false">IF(N240="","",_xlfn.XLOOKUP(TRIM(N240),Metallic_Radius_Table!A:A,Metallic_Radius_Table!B:B))</f>
        <v>1.27</v>
      </c>
      <c r="P240" s="0" t="str">
        <f aca="false">TRIM(MID(C240,FIND(",",C240)+1,5))</f>
        <v>W</v>
      </c>
      <c r="Q240" s="0" t="n">
        <f aca="false">IF(P240="","",_xlfn.XLOOKUP(TRIM(P240),Metallic_Radius_Table!A:A,Metallic_Radius_Table!B:B))</f>
        <v>1.41</v>
      </c>
      <c r="R240" s="0" t="str">
        <f aca="false">IF(G240&gt;=1,   "Ferromagnetic / Ferrimagnetic",   IF(G240&gt;=0.05,      "Paramagnetic / Weakly magnetic",      "Antiferromagnetic / Diamagnetic"))</f>
        <v>Ferromagnetic / Ferrimagnetic</v>
      </c>
      <c r="U240" s="0" t="str">
        <f aca="false">IF(G240&gt;=1,
   "FM → PM (Curie-type)",
   IF(G240&lt;0.05,
      "AFM → PM (Néel-type)",
      "No long-range magnetic transition"))</f>
        <v>FM → PM (Curie-type)</v>
      </c>
    </row>
    <row r="241" customFormat="false" ht="14.25" hidden="false" customHeight="false" outlineLevel="0" collapsed="false">
      <c r="A241" s="0" t="s">
        <v>567</v>
      </c>
      <c r="B241" s="0" t="s">
        <v>568</v>
      </c>
      <c r="C241" s="0" t="s">
        <v>89</v>
      </c>
      <c r="D241" s="0" t="n">
        <v>-2.886674052</v>
      </c>
      <c r="E241" s="0" t="n">
        <v>0.082983350249996</v>
      </c>
      <c r="F241" s="0" t="n">
        <v>0</v>
      </c>
      <c r="G241" s="0" t="n">
        <v>18.5562942</v>
      </c>
      <c r="H241" s="0" t="s">
        <v>22</v>
      </c>
      <c r="I241" s="2" t="b">
        <f aca="false">TRUE()</f>
        <v>1</v>
      </c>
      <c r="J241" s="0" t="str">
        <f aca="false">IF(AND(CODE(MID(B241,2,1))&gt;=97,CODE(MID(B241,2,1))&lt;=122),LEFT(B241,2),LEFT(B241,1))</f>
        <v>Eu</v>
      </c>
      <c r="K241" s="0" t="n">
        <f aca="false">IF(J241="","",_xlfn.XLOOKUP(TRIM(J241),Metallic_Radius_Table!A:A,Metallic_Radius_Table!B:B))</f>
        <v>1.99</v>
      </c>
      <c r="L241" s="0" t="str">
        <f aca="false">IF(ISNUMBER(SEARCH("La",B241)),"La",
 IF(ISNUMBER(SEARCH("Nd",B241)),"Nd",
 IF(ISNUMBER(SEARCH("Eu",B241)),"Eu",
 IF(ISNUMBER(SEARCH("Gd",B241)),"Gd",""))))</f>
        <v>Eu</v>
      </c>
      <c r="M241" s="0" t="n">
        <f aca="false">IF(L241="","",_xlfn.XLOOKUP(TRIM(L241),Metallic_Radius_Table!A:A,Metallic_Radius_Table!B:B))</f>
        <v>1.99</v>
      </c>
      <c r="N241" s="0" t="str">
        <f aca="false">TRIM(LEFT(C241,FIND(",",C241)-1))</f>
        <v>Fe</v>
      </c>
      <c r="O241" s="3" t="n">
        <f aca="false">IF(N241="","",_xlfn.XLOOKUP(TRIM(N241),Metallic_Radius_Table!A:A,Metallic_Radius_Table!B:B))</f>
        <v>1.26</v>
      </c>
      <c r="P241" s="0" t="str">
        <f aca="false">TRIM(MID(C241,FIND(",",C241)+1,5))</f>
        <v>Nb</v>
      </c>
      <c r="Q241" s="0" t="n">
        <f aca="false">IF(P241="","",_xlfn.XLOOKUP(TRIM(P241),Metallic_Radius_Table!A:A,Metallic_Radius_Table!B:B))</f>
        <v>1.46</v>
      </c>
      <c r="R241" s="0" t="str">
        <f aca="false">IF(G241&gt;=1,   "Ferromagnetic / Ferrimagnetic",   IF(G241&gt;=0.05,      "Paramagnetic / Weakly magnetic",      "Antiferromagnetic / Diamagnetic"))</f>
        <v>Ferromagnetic / Ferrimagnetic</v>
      </c>
      <c r="U241" s="0" t="str">
        <f aca="false">IF(G241&gt;=1,
   "FM → PM (Curie-type)",
   IF(G241&lt;0.05,
      "AFM → PM (Néel-type)",
      "No long-range magnetic transition"))</f>
        <v>FM → PM (Curie-type)</v>
      </c>
    </row>
    <row r="242" customFormat="false" ht="14.25" hidden="false" customHeight="false" outlineLevel="0" collapsed="false">
      <c r="A242" s="0" t="s">
        <v>569</v>
      </c>
      <c r="B242" s="0" t="s">
        <v>570</v>
      </c>
      <c r="C242" s="0" t="s">
        <v>125</v>
      </c>
      <c r="D242" s="0" t="n">
        <v>-2.813878178</v>
      </c>
      <c r="E242" s="0" t="n">
        <v>0.162676300187497</v>
      </c>
      <c r="F242" s="0" t="n">
        <v>0</v>
      </c>
      <c r="G242" s="0" t="n">
        <v>16.9885395</v>
      </c>
      <c r="H242" s="0" t="s">
        <v>22</v>
      </c>
      <c r="I242" s="2" t="b">
        <f aca="false">TRUE()</f>
        <v>1</v>
      </c>
      <c r="J242" s="0" t="str">
        <f aca="false">IF(AND(CODE(MID(B242,2,1))&gt;=97,CODE(MID(B242,2,1))&lt;=122),LEFT(B242,2),LEFT(B242,1))</f>
        <v>Eu</v>
      </c>
      <c r="K242" s="0" t="n">
        <f aca="false">IF(J242="","",_xlfn.XLOOKUP(TRIM(J242),Metallic_Radius_Table!A:A,Metallic_Radius_Table!B:B))</f>
        <v>1.99</v>
      </c>
      <c r="L242" s="0" t="str">
        <f aca="false">IF(ISNUMBER(SEARCH("La",B242)),"La",
 IF(ISNUMBER(SEARCH("Nd",B242)),"Nd",
 IF(ISNUMBER(SEARCH("Eu",B242)),"Eu",
 IF(ISNUMBER(SEARCH("Gd",B242)),"Gd",""))))</f>
        <v>Eu</v>
      </c>
      <c r="M242" s="0" t="n">
        <f aca="false">IF(L242="","",_xlfn.XLOOKUP(TRIM(L242),Metallic_Radius_Table!A:A,Metallic_Radius_Table!B:B))</f>
        <v>1.99</v>
      </c>
      <c r="N242" s="0" t="str">
        <f aca="false">TRIM(LEFT(C242,FIND(",",C242)-1))</f>
        <v>Nb</v>
      </c>
      <c r="O242" s="3" t="n">
        <f aca="false">IF(N242="","",_xlfn.XLOOKUP(TRIM(N242),Metallic_Radius_Table!A:A,Metallic_Radius_Table!B:B))</f>
        <v>1.46</v>
      </c>
      <c r="P242" s="0" t="str">
        <f aca="false">TRIM(MID(C242,FIND(",",C242)+1,5))</f>
        <v>W</v>
      </c>
      <c r="Q242" s="0" t="n">
        <f aca="false">IF(P242="","",_xlfn.XLOOKUP(TRIM(P242),Metallic_Radius_Table!A:A,Metallic_Radius_Table!B:B))</f>
        <v>1.41</v>
      </c>
      <c r="R242" s="0" t="str">
        <f aca="false">IF(G242&gt;=1,   "Ferromagnetic / Ferrimagnetic",   IF(G242&gt;=0.05,      "Paramagnetic / Weakly magnetic",      "Antiferromagnetic / Diamagnetic"))</f>
        <v>Ferromagnetic / Ferrimagnetic</v>
      </c>
      <c r="U242" s="0" t="str">
        <f aca="false">IF(G242&gt;=1,
   "FM → PM (Curie-type)",
   IF(G242&lt;0.05,
      "AFM → PM (Néel-type)",
      "No long-range magnetic transition"))</f>
        <v>FM → PM (Curie-type)</v>
      </c>
    </row>
    <row r="243" customFormat="false" ht="14.25" hidden="false" customHeight="false" outlineLevel="0" collapsed="false">
      <c r="A243" s="0" t="s">
        <v>571</v>
      </c>
      <c r="B243" s="0" t="s">
        <v>572</v>
      </c>
      <c r="C243" s="0" t="s">
        <v>108</v>
      </c>
      <c r="D243" s="0" t="n">
        <v>-2.516327713</v>
      </c>
      <c r="E243" s="0" t="n">
        <v>0.082602808124994</v>
      </c>
      <c r="F243" s="0" t="n">
        <v>0.442999999999999</v>
      </c>
      <c r="G243" s="0" t="n">
        <v>16.0000006</v>
      </c>
      <c r="H243" s="0" t="s">
        <v>22</v>
      </c>
      <c r="I243" s="2" t="b">
        <f aca="false">TRUE()</f>
        <v>1</v>
      </c>
      <c r="J243" s="0" t="str">
        <f aca="false">IF(AND(CODE(MID(B243,2,1))&gt;=97,CODE(MID(B243,2,1))&lt;=122),LEFT(B243,2),LEFT(B243,1))</f>
        <v>Eu</v>
      </c>
      <c r="K243" s="0" t="n">
        <f aca="false">IF(J243="","",_xlfn.XLOOKUP(TRIM(J243),Metallic_Radius_Table!A:A,Metallic_Radius_Table!B:B))</f>
        <v>1.99</v>
      </c>
      <c r="L243" s="0" t="str">
        <f aca="false">IF(ISNUMBER(SEARCH("La",B243)),"La",
 IF(ISNUMBER(SEARCH("Nd",B243)),"Nd",
 IF(ISNUMBER(SEARCH("Eu",B243)),"Eu",
 IF(ISNUMBER(SEARCH("Gd",B243)),"Gd",""))))</f>
        <v>Eu</v>
      </c>
      <c r="M243" s="0" t="n">
        <f aca="false">IF(L243="","",_xlfn.XLOOKUP(TRIM(L243),Metallic_Radius_Table!A:A,Metallic_Radius_Table!B:B))</f>
        <v>1.99</v>
      </c>
      <c r="N243" s="0" t="str">
        <f aca="false">TRIM(LEFT(C243,FIND(",",C243)-1))</f>
        <v>Ni</v>
      </c>
      <c r="O243" s="3" t="n">
        <f aca="false">IF(N243="","",_xlfn.XLOOKUP(TRIM(N243),Metallic_Radius_Table!A:A,Metallic_Radius_Table!B:B))</f>
        <v>1.24</v>
      </c>
      <c r="P243" s="0" t="str">
        <f aca="false">TRIM(MID(C243,FIND(",",C243)+1,5))</f>
        <v>W</v>
      </c>
      <c r="Q243" s="0" t="n">
        <f aca="false">IF(P243="","",_xlfn.XLOOKUP(TRIM(P243),Metallic_Radius_Table!A:A,Metallic_Radius_Table!B:B))</f>
        <v>1.41</v>
      </c>
      <c r="R243" s="0" t="str">
        <f aca="false">IF(G243&gt;=1,   "Ferromagnetic / Ferrimagnetic",   IF(G243&gt;=0.05,      "Paramagnetic / Weakly magnetic",      "Antiferromagnetic / Diamagnetic"))</f>
        <v>Ferromagnetic / Ferrimagnetic</v>
      </c>
      <c r="U243" s="0" t="str">
        <f aca="false">IF(G243&gt;=1,
   "FM → PM (Curie-type)",
   IF(G243&lt;0.05,
      "AFM → PM (Néel-type)",
      "No long-range magnetic transition"))</f>
        <v>FM → PM (Curie-type)</v>
      </c>
    </row>
    <row r="244" customFormat="false" ht="14.25" hidden="false" customHeight="false" outlineLevel="0" collapsed="false">
      <c r="A244" s="0" t="s">
        <v>573</v>
      </c>
      <c r="B244" s="0" t="s">
        <v>574</v>
      </c>
      <c r="C244" s="0" t="s">
        <v>185</v>
      </c>
      <c r="D244" s="0" t="n">
        <v>-3.34329304933333</v>
      </c>
      <c r="E244" s="0" t="n">
        <v>0.007749665500037</v>
      </c>
      <c r="F244" s="0" t="n">
        <v>0</v>
      </c>
      <c r="G244" s="0" t="n">
        <v>13.5124513</v>
      </c>
      <c r="H244" s="0" t="s">
        <v>22</v>
      </c>
      <c r="I244" s="2" t="b">
        <f aca="false">TRUE()</f>
        <v>1</v>
      </c>
      <c r="J244" s="0" t="str">
        <f aca="false">IF(AND(CODE(MID(B244,2,1))&gt;=97,CODE(MID(B244,2,1))&lt;=122),LEFT(B244,2),LEFT(B244,1))</f>
        <v>Eu</v>
      </c>
      <c r="K244" s="0" t="n">
        <f aca="false">IF(J244="","",_xlfn.XLOOKUP(TRIM(J244),Metallic_Radius_Table!A:A,Metallic_Radius_Table!B:B))</f>
        <v>1.99</v>
      </c>
      <c r="L244" s="0" t="str">
        <f aca="false">IF(ISNUMBER(SEARCH("La",B244)),"La",
 IF(ISNUMBER(SEARCH("Nd",B244)),"Nd",
 IF(ISNUMBER(SEARCH("Eu",B244)),"Eu",
 IF(ISNUMBER(SEARCH("Gd",B244)),"Gd",""))))</f>
        <v>Eu</v>
      </c>
      <c r="M244" s="0" t="n">
        <f aca="false">IF(L244="","",_xlfn.XLOOKUP(TRIM(L244),Metallic_Radius_Table!A:A,Metallic_Radius_Table!B:B))</f>
        <v>1.99</v>
      </c>
      <c r="N244" s="0" t="str">
        <f aca="false">TRIM(LEFT(C244,FIND(",",C244)-1))</f>
        <v>Nb</v>
      </c>
      <c r="O244" s="3" t="n">
        <f aca="false">IF(N244="","",_xlfn.XLOOKUP(TRIM(N244),Metallic_Radius_Table!A:A,Metallic_Radius_Table!B:B))</f>
        <v>1.46</v>
      </c>
      <c r="P244" s="0" t="str">
        <f aca="false">TRIM(MID(C244,FIND(",",C244)+1,5))</f>
        <v>Ti</v>
      </c>
      <c r="Q244" s="0" t="n">
        <f aca="false">IF(P244="","",_xlfn.XLOOKUP(TRIM(P244),Metallic_Radius_Table!A:A,Metallic_Radius_Table!B:B))</f>
        <v>1.47</v>
      </c>
      <c r="R244" s="0" t="str">
        <f aca="false">IF(G244&gt;=1,   "Ferromagnetic / Ferrimagnetic",   IF(G244&gt;=0.05,      "Paramagnetic / Weakly magnetic",      "Antiferromagnetic / Diamagnetic"))</f>
        <v>Ferromagnetic / Ferrimagnetic</v>
      </c>
      <c r="U244" s="0" t="str">
        <f aca="false">IF(G244&gt;=1,
   "FM → PM (Curie-type)",
   IF(G244&lt;0.05,
      "AFM → PM (Néel-type)",
      "No long-range magnetic transition"))</f>
        <v>FM → PM (Curie-type)</v>
      </c>
    </row>
    <row r="245" customFormat="false" ht="14.25" hidden="false" customHeight="false" outlineLevel="0" collapsed="false">
      <c r="A245" s="0" t="s">
        <v>575</v>
      </c>
      <c r="B245" s="0" t="s">
        <v>576</v>
      </c>
      <c r="C245" s="0" t="s">
        <v>211</v>
      </c>
      <c r="D245" s="0" t="n">
        <v>-2.733905529</v>
      </c>
      <c r="E245" s="0" t="n">
        <v>0.080634846749999</v>
      </c>
      <c r="F245" s="0" t="n">
        <v>0.3942</v>
      </c>
      <c r="G245" s="0" t="n">
        <v>16.9999997</v>
      </c>
      <c r="H245" s="0" t="s">
        <v>22</v>
      </c>
      <c r="I245" s="2" t="b">
        <f aca="false">TRUE()</f>
        <v>1</v>
      </c>
      <c r="J245" s="0" t="str">
        <f aca="false">IF(AND(CODE(MID(B245,2,1))&gt;=97,CODE(MID(B245,2,1))&lt;=122),LEFT(B245,2),LEFT(B245,1))</f>
        <v>Eu</v>
      </c>
      <c r="K245" s="0" t="n">
        <f aca="false">IF(J245="","",_xlfn.XLOOKUP(TRIM(J245),Metallic_Radius_Table!A:A,Metallic_Radius_Table!B:B))</f>
        <v>1.99</v>
      </c>
      <c r="L245" s="0" t="str">
        <f aca="false">IF(ISNUMBER(SEARCH("La",B245)),"La",
 IF(ISNUMBER(SEARCH("Nd",B245)),"Nd",
 IF(ISNUMBER(SEARCH("Eu",B245)),"Eu",
 IF(ISNUMBER(SEARCH("Gd",B245)),"Gd",""))))</f>
        <v>Eu</v>
      </c>
      <c r="M245" s="0" t="n">
        <f aca="false">IF(L245="","",_xlfn.XLOOKUP(TRIM(L245),Metallic_Radius_Table!A:A,Metallic_Radius_Table!B:B))</f>
        <v>1.99</v>
      </c>
      <c r="N245" s="0" t="str">
        <f aca="false">TRIM(LEFT(C245,FIND(",",C245)-1))</f>
        <v>V</v>
      </c>
      <c r="O245" s="3" t="n">
        <f aca="false">IF(N245="","",_xlfn.XLOOKUP(TRIM(N245),Metallic_Radius_Table!A:A,Metallic_Radius_Table!B:B))</f>
        <v>1.34</v>
      </c>
      <c r="P245" s="0" t="str">
        <f aca="false">TRIM(MID(C245,FIND(",",C245)+1,5))</f>
        <v>W</v>
      </c>
      <c r="Q245" s="0" t="n">
        <f aca="false">IF(P245="","",_xlfn.XLOOKUP(TRIM(P245),Metallic_Radius_Table!A:A,Metallic_Radius_Table!B:B))</f>
        <v>1.41</v>
      </c>
      <c r="R245" s="0" t="str">
        <f aca="false">IF(G245&gt;=1,   "Ferromagnetic / Ferrimagnetic",   IF(G245&gt;=0.05,      "Paramagnetic / Weakly magnetic",      "Antiferromagnetic / Diamagnetic"))</f>
        <v>Ferromagnetic / Ferrimagnetic</v>
      </c>
      <c r="U245" s="0" t="str">
        <f aca="false">IF(G245&gt;=1,
   "FM → PM (Curie-type)",
   IF(G245&lt;0.05,
      "AFM → PM (Néel-type)",
      "No long-range magnetic transition"))</f>
        <v>FM → PM (Curie-type)</v>
      </c>
    </row>
    <row r="246" customFormat="false" ht="14.25" hidden="false" customHeight="false" outlineLevel="0" collapsed="false">
      <c r="A246" s="0" t="s">
        <v>577</v>
      </c>
      <c r="B246" s="0" t="s">
        <v>578</v>
      </c>
      <c r="C246" s="0" t="s">
        <v>330</v>
      </c>
      <c r="D246" s="0" t="n">
        <v>-3.166097654</v>
      </c>
      <c r="E246" s="0" t="n">
        <v>0.10693787075</v>
      </c>
      <c r="F246" s="0" t="n">
        <v>0</v>
      </c>
      <c r="G246" s="0" t="n">
        <v>16.0000008</v>
      </c>
      <c r="H246" s="0" t="s">
        <v>22</v>
      </c>
      <c r="I246" s="2" t="b">
        <f aca="false">TRUE()</f>
        <v>1</v>
      </c>
      <c r="J246" s="0" t="str">
        <f aca="false">IF(AND(CODE(MID(B246,2,1))&gt;=97,CODE(MID(B246,2,1))&lt;=122),LEFT(B246,2),LEFT(B246,1))</f>
        <v>Eu</v>
      </c>
      <c r="K246" s="0" t="n">
        <f aca="false">IF(J246="","",_xlfn.XLOOKUP(TRIM(J246),Metallic_Radius_Table!A:A,Metallic_Radius_Table!B:B))</f>
        <v>1.99</v>
      </c>
      <c r="L246" s="0" t="str">
        <f aca="false">IF(ISNUMBER(SEARCH("La",B246)),"La",
 IF(ISNUMBER(SEARCH("Nd",B246)),"Nd",
 IF(ISNUMBER(SEARCH("Eu",B246)),"Eu",
 IF(ISNUMBER(SEARCH("Gd",B246)),"Gd",""))))</f>
        <v>Eu</v>
      </c>
      <c r="M246" s="0" t="n">
        <f aca="false">IF(L246="","",_xlfn.XLOOKUP(TRIM(L246),Metallic_Radius_Table!A:A,Metallic_Radius_Table!B:B))</f>
        <v>1.99</v>
      </c>
      <c r="N246" s="0" t="str">
        <f aca="false">TRIM(LEFT(C246,FIND(",",C246)-1))</f>
        <v>Cr</v>
      </c>
      <c r="O246" s="3" t="n">
        <f aca="false">IF(N246="","",_xlfn.XLOOKUP(TRIM(N246),Metallic_Radius_Table!A:A,Metallic_Radius_Table!B:B))</f>
        <v>1.28</v>
      </c>
      <c r="P246" s="0" t="str">
        <f aca="false">TRIM(MID(C246,FIND(",",C246)+1,5))</f>
        <v>Zr</v>
      </c>
      <c r="Q246" s="0" t="n">
        <f aca="false">IF(P246="","",_xlfn.XLOOKUP(TRIM(P246),Metallic_Radius_Table!A:A,Metallic_Radius_Table!B:B))</f>
        <v>1.6</v>
      </c>
      <c r="R246" s="0" t="str">
        <f aca="false">IF(G246&gt;=1,   "Ferromagnetic / Ferrimagnetic",   IF(G246&gt;=0.05,      "Paramagnetic / Weakly magnetic",      "Antiferromagnetic / Diamagnetic"))</f>
        <v>Ferromagnetic / Ferrimagnetic</v>
      </c>
      <c r="U246" s="0" t="str">
        <f aca="false">IF(G246&gt;=1,
   "FM → PM (Curie-type)",
   IF(G246&lt;0.05,
      "AFM → PM (Néel-type)",
      "No long-range magnetic transition"))</f>
        <v>FM → PM (Curie-type)</v>
      </c>
    </row>
    <row r="247" customFormat="false" ht="14.25" hidden="false" customHeight="false" outlineLevel="0" collapsed="false">
      <c r="A247" s="0" t="s">
        <v>579</v>
      </c>
      <c r="B247" s="0" t="s">
        <v>580</v>
      </c>
      <c r="C247" s="0" t="s">
        <v>479</v>
      </c>
      <c r="D247" s="0" t="n">
        <v>-2.974647611</v>
      </c>
      <c r="E247" s="0" t="n">
        <v>0.188327871499993</v>
      </c>
      <c r="F247" s="0" t="n">
        <v>0</v>
      </c>
      <c r="G247" s="0" t="n">
        <v>18.0000007</v>
      </c>
      <c r="H247" s="0" t="s">
        <v>22</v>
      </c>
      <c r="I247" s="2" t="b">
        <f aca="false">TRUE()</f>
        <v>1</v>
      </c>
      <c r="J247" s="0" t="str">
        <f aca="false">IF(AND(CODE(MID(B247,2,1))&gt;=97,CODE(MID(B247,2,1))&lt;=122),LEFT(B247,2),LEFT(B247,1))</f>
        <v>Eu</v>
      </c>
      <c r="K247" s="0" t="n">
        <f aca="false">IF(J247="","",_xlfn.XLOOKUP(TRIM(J247),Metallic_Radius_Table!A:A,Metallic_Radius_Table!B:B))</f>
        <v>1.99</v>
      </c>
      <c r="L247" s="0" t="str">
        <f aca="false">IF(ISNUMBER(SEARCH("La",B247)),"La",
 IF(ISNUMBER(SEARCH("Nd",B247)),"Nd",
 IF(ISNUMBER(SEARCH("Eu",B247)),"Eu",
 IF(ISNUMBER(SEARCH("Gd",B247)),"Gd",""))))</f>
        <v>Eu</v>
      </c>
      <c r="M247" s="0" t="n">
        <f aca="false">IF(L247="","",_xlfn.XLOOKUP(TRIM(L247),Metallic_Radius_Table!A:A,Metallic_Radius_Table!B:B))</f>
        <v>1.99</v>
      </c>
      <c r="N247" s="0" t="str">
        <f aca="false">TRIM(LEFT(C247,FIND(",",C247)-1))</f>
        <v>Fe</v>
      </c>
      <c r="O247" s="3" t="n">
        <f aca="false">IF(N247="","",_xlfn.XLOOKUP(TRIM(N247),Metallic_Radius_Table!A:A,Metallic_Radius_Table!B:B))</f>
        <v>1.26</v>
      </c>
      <c r="P247" s="0" t="str">
        <f aca="false">TRIM(MID(C247,FIND(",",C247)+1,5))</f>
        <v>Zr</v>
      </c>
      <c r="Q247" s="0" t="n">
        <f aca="false">IF(P247="","",_xlfn.XLOOKUP(TRIM(P247),Metallic_Radius_Table!A:A,Metallic_Radius_Table!B:B))</f>
        <v>1.6</v>
      </c>
      <c r="R247" s="0" t="str">
        <f aca="false">IF(G247&gt;=1,   "Ferromagnetic / Ferrimagnetic",   IF(G247&gt;=0.05,      "Paramagnetic / Weakly magnetic",      "Antiferromagnetic / Diamagnetic"))</f>
        <v>Ferromagnetic / Ferrimagnetic</v>
      </c>
      <c r="U247" s="0" t="str">
        <f aca="false">IF(G247&gt;=1,
   "FM → PM (Curie-type)",
   IF(G247&lt;0.05,
      "AFM → PM (Néel-type)",
      "No long-range magnetic transition"))</f>
        <v>FM → PM (Curie-type)</v>
      </c>
    </row>
    <row r="248" customFormat="false" ht="14.25" hidden="false" customHeight="false" outlineLevel="0" collapsed="false">
      <c r="A248" s="0" t="s">
        <v>581</v>
      </c>
      <c r="B248" s="0" t="s">
        <v>582</v>
      </c>
      <c r="C248" s="0" t="s">
        <v>482</v>
      </c>
      <c r="D248" s="0" t="n">
        <v>-3.317280466</v>
      </c>
      <c r="E248" s="0" t="n">
        <v>0.074596705250039</v>
      </c>
      <c r="F248" s="0" t="n">
        <v>0</v>
      </c>
      <c r="G248" s="0" t="n">
        <v>13.599176</v>
      </c>
      <c r="H248" s="0" t="s">
        <v>22</v>
      </c>
      <c r="I248" s="2" t="b">
        <f aca="false">TRUE()</f>
        <v>1</v>
      </c>
      <c r="J248" s="0" t="str">
        <f aca="false">IF(AND(CODE(MID(B248,2,1))&gt;=97,CODE(MID(B248,2,1))&lt;=122),LEFT(B248,2),LEFT(B248,1))</f>
        <v>Eu</v>
      </c>
      <c r="K248" s="0" t="n">
        <f aca="false">IF(J248="","",_xlfn.XLOOKUP(TRIM(J248),Metallic_Radius_Table!A:A,Metallic_Radius_Table!B:B))</f>
        <v>1.99</v>
      </c>
      <c r="L248" s="0" t="str">
        <f aca="false">IF(ISNUMBER(SEARCH("La",B248)),"La",
 IF(ISNUMBER(SEARCH("Nd",B248)),"Nd",
 IF(ISNUMBER(SEARCH("Eu",B248)),"Eu",
 IF(ISNUMBER(SEARCH("Gd",B248)),"Gd",""))))</f>
        <v>Eu</v>
      </c>
      <c r="M248" s="0" t="n">
        <f aca="false">IF(L248="","",_xlfn.XLOOKUP(TRIM(L248),Metallic_Radius_Table!A:A,Metallic_Radius_Table!B:B))</f>
        <v>1.99</v>
      </c>
      <c r="N248" s="0" t="str">
        <f aca="false">TRIM(LEFT(C248,FIND(",",C248)-1))</f>
        <v>Nb</v>
      </c>
      <c r="O248" s="3" t="n">
        <f aca="false">IF(N248="","",_xlfn.XLOOKUP(TRIM(N248),Metallic_Radius_Table!A:A,Metallic_Radius_Table!B:B))</f>
        <v>1.46</v>
      </c>
      <c r="P248" s="0" t="str">
        <f aca="false">TRIM(MID(C248,FIND(",",C248)+1,5))</f>
        <v>Zr</v>
      </c>
      <c r="Q248" s="0" t="n">
        <f aca="false">IF(P248="","",_xlfn.XLOOKUP(TRIM(P248),Metallic_Radius_Table!A:A,Metallic_Radius_Table!B:B))</f>
        <v>1.6</v>
      </c>
      <c r="R248" s="0" t="str">
        <f aca="false">IF(G248&gt;=1,   "Ferromagnetic / Ferrimagnetic",   IF(G248&gt;=0.05,      "Paramagnetic / Weakly magnetic",      "Antiferromagnetic / Diamagnetic"))</f>
        <v>Ferromagnetic / Ferrimagnetic</v>
      </c>
      <c r="U248" s="0" t="str">
        <f aca="false">IF(G248&gt;=1,
   "FM → PM (Curie-type)",
   IF(G248&lt;0.05,
      "AFM → PM (Néel-type)",
      "No long-range magnetic transition"))</f>
        <v>FM → PM (Curie-type)</v>
      </c>
    </row>
    <row r="249" customFormat="false" ht="14.25" hidden="false" customHeight="false" outlineLevel="0" collapsed="false">
      <c r="A249" s="0" t="s">
        <v>583</v>
      </c>
      <c r="B249" s="0" t="s">
        <v>584</v>
      </c>
      <c r="C249" s="0" t="s">
        <v>216</v>
      </c>
      <c r="D249" s="0" t="n">
        <v>-3.53709541333333</v>
      </c>
      <c r="E249" s="0" t="n">
        <v>0.062261016749999</v>
      </c>
      <c r="F249" s="0" t="n">
        <v>0.0034</v>
      </c>
      <c r="G249" s="0" t="n">
        <v>14.0001123</v>
      </c>
      <c r="H249" s="0" t="s">
        <v>22</v>
      </c>
      <c r="I249" s="2" t="b">
        <f aca="false">TRUE()</f>
        <v>1</v>
      </c>
      <c r="J249" s="0" t="str">
        <f aca="false">IF(AND(CODE(MID(B249,2,1))&gt;=97,CODE(MID(B249,2,1))&lt;=122),LEFT(B249,2),LEFT(B249,1))</f>
        <v>Eu</v>
      </c>
      <c r="K249" s="0" t="n">
        <f aca="false">IF(J249="","",_xlfn.XLOOKUP(TRIM(J249),Metallic_Radius_Table!A:A,Metallic_Radius_Table!B:B))</f>
        <v>1.99</v>
      </c>
      <c r="L249" s="0" t="str">
        <f aca="false">IF(ISNUMBER(SEARCH("La",B249)),"La",
 IF(ISNUMBER(SEARCH("Nd",B249)),"Nd",
 IF(ISNUMBER(SEARCH("Eu",B249)),"Eu",
 IF(ISNUMBER(SEARCH("Gd",B249)),"Gd",""))))</f>
        <v>Eu</v>
      </c>
      <c r="M249" s="0" t="n">
        <f aca="false">IF(L249="","",_xlfn.XLOOKUP(TRIM(L249),Metallic_Radius_Table!A:A,Metallic_Radius_Table!B:B))</f>
        <v>1.99</v>
      </c>
      <c r="N249" s="0" t="str">
        <f aca="false">TRIM(LEFT(C249,FIND(",",C249)-1))</f>
        <v>Zr</v>
      </c>
      <c r="O249" s="3" t="n">
        <f aca="false">IF(N249="","",_xlfn.XLOOKUP(TRIM(N249),Metallic_Radius_Table!A:A,Metallic_Radius_Table!B:B))</f>
        <v>1.6</v>
      </c>
      <c r="P249" s="0" t="str">
        <f aca="false">TRIM(MID(C249,FIND(",",C249)+1,5))</f>
        <v>Ti</v>
      </c>
      <c r="Q249" s="0" t="n">
        <f aca="false">IF(P249="","",_xlfn.XLOOKUP(TRIM(P249),Metallic_Radius_Table!A:A,Metallic_Radius_Table!B:B))</f>
        <v>1.47</v>
      </c>
      <c r="R249" s="0" t="str">
        <f aca="false">IF(G249&gt;=1,   "Ferromagnetic / Ferrimagnetic",   IF(G249&gt;=0.05,      "Paramagnetic / Weakly magnetic",      "Antiferromagnetic / Diamagnetic"))</f>
        <v>Ferromagnetic / Ferrimagnetic</v>
      </c>
      <c r="U249" s="0" t="str">
        <f aca="false">IF(G249&gt;=1,
   "FM → PM (Curie-type)",
   IF(G249&lt;0.05,
      "AFM → PM (Néel-type)",
      "No long-range magnetic transition"))</f>
        <v>FM → PM (Curie-type)</v>
      </c>
    </row>
    <row r="250" customFormat="false" ht="14.25" hidden="false" customHeight="false" outlineLevel="0" collapsed="false">
      <c r="A250" s="0" t="s">
        <v>585</v>
      </c>
      <c r="B250" s="0" t="s">
        <v>586</v>
      </c>
      <c r="C250" s="0" t="s">
        <v>529</v>
      </c>
      <c r="D250" s="0" t="n">
        <v>-3.217619104</v>
      </c>
      <c r="E250" s="0" t="n">
        <v>0.097406401812499</v>
      </c>
      <c r="F250" s="0" t="n">
        <v>0</v>
      </c>
      <c r="G250" s="0" t="n">
        <v>14.9999998</v>
      </c>
      <c r="H250" s="0" t="s">
        <v>22</v>
      </c>
      <c r="I250" s="2" t="b">
        <f aca="false">TRUE()</f>
        <v>1</v>
      </c>
      <c r="J250" s="0" t="str">
        <f aca="false">IF(AND(CODE(MID(B250,2,1))&gt;=97,CODE(MID(B250,2,1))&lt;=122),LEFT(B250,2),LEFT(B250,1))</f>
        <v>Eu</v>
      </c>
      <c r="K250" s="0" t="n">
        <f aca="false">IF(J250="","",_xlfn.XLOOKUP(TRIM(J250),Metallic_Radius_Table!A:A,Metallic_Radius_Table!B:B))</f>
        <v>1.99</v>
      </c>
      <c r="L250" s="0" t="str">
        <f aca="false">IF(ISNUMBER(SEARCH("La",B250)),"La",
 IF(ISNUMBER(SEARCH("Nd",B250)),"Nd",
 IF(ISNUMBER(SEARCH("Eu",B250)),"Eu",
 IF(ISNUMBER(SEARCH("Gd",B250)),"Gd",""))))</f>
        <v>Eu</v>
      </c>
      <c r="M250" s="0" t="n">
        <f aca="false">IF(L250="","",_xlfn.XLOOKUP(TRIM(L250),Metallic_Radius_Table!A:A,Metallic_Radius_Table!B:B))</f>
        <v>1.99</v>
      </c>
      <c r="N250" s="0" t="str">
        <f aca="false">TRIM(LEFT(C250,FIND(",",C250)-1))</f>
        <v>Zr</v>
      </c>
      <c r="O250" s="3" t="n">
        <f aca="false">IF(N250="","",_xlfn.XLOOKUP(TRIM(N250),Metallic_Radius_Table!A:A,Metallic_Radius_Table!B:B))</f>
        <v>1.6</v>
      </c>
      <c r="P250" s="0" t="str">
        <f aca="false">TRIM(MID(C250,FIND(",",C250)+1,5))</f>
        <v>V</v>
      </c>
      <c r="Q250" s="0" t="n">
        <f aca="false">IF(P250="","",_xlfn.XLOOKUP(TRIM(P250),Metallic_Radius_Table!A:A,Metallic_Radius_Table!B:B))</f>
        <v>1.34</v>
      </c>
      <c r="R250" s="0" t="str">
        <f aca="false">IF(G250&gt;=1,   "Ferromagnetic / Ferrimagnetic",   IF(G250&gt;=0.05,      "Paramagnetic / Weakly magnetic",      "Antiferromagnetic / Diamagnetic"))</f>
        <v>Ferromagnetic / Ferrimagnetic</v>
      </c>
      <c r="U250" s="0" t="str">
        <f aca="false">IF(G250&gt;=1,
   "FM → PM (Curie-type)",
   IF(G250&lt;0.05,
      "AFM → PM (Néel-type)",
      "No long-range magnetic transition"))</f>
        <v>FM → PM (Curie-type)</v>
      </c>
    </row>
    <row r="251" customFormat="false" ht="14.25" hidden="false" customHeight="false" outlineLevel="0" collapsed="false">
      <c r="A251" s="0" t="s">
        <v>587</v>
      </c>
      <c r="B251" s="0" t="s">
        <v>588</v>
      </c>
      <c r="C251" s="0" t="s">
        <v>131</v>
      </c>
      <c r="D251" s="0" t="n">
        <v>-2.984259763</v>
      </c>
      <c r="E251" s="0" t="n">
        <v>0.187911820749992</v>
      </c>
      <c r="F251" s="0" t="n">
        <v>0</v>
      </c>
      <c r="G251" s="0" t="n">
        <v>11.6227842</v>
      </c>
      <c r="H251" s="0" t="s">
        <v>22</v>
      </c>
      <c r="I251" s="2" t="b">
        <f aca="false">TRUE()</f>
        <v>1</v>
      </c>
      <c r="J251" s="0" t="str">
        <f aca="false">IF(AND(CODE(MID(B251,2,1))&gt;=97,CODE(MID(B251,2,1))&lt;=122),LEFT(B251,2),LEFT(B251,1))</f>
        <v>Eu</v>
      </c>
      <c r="K251" s="0" t="n">
        <f aca="false">IF(J251="","",_xlfn.XLOOKUP(TRIM(J251),Metallic_Radius_Table!A:A,Metallic_Radius_Table!B:B))</f>
        <v>1.99</v>
      </c>
      <c r="L251" s="0" t="str">
        <f aca="false">IF(ISNUMBER(SEARCH("La",B251)),"La",
 IF(ISNUMBER(SEARCH("Nd",B251)),"Nd",
 IF(ISNUMBER(SEARCH("Eu",B251)),"Eu",
 IF(ISNUMBER(SEARCH("Gd",B251)),"Gd",""))))</f>
        <v>Eu</v>
      </c>
      <c r="M251" s="0" t="n">
        <f aca="false">IF(L251="","",_xlfn.XLOOKUP(TRIM(L251),Metallic_Radius_Table!A:A,Metallic_Radius_Table!B:B))</f>
        <v>1.99</v>
      </c>
      <c r="N251" s="0" t="str">
        <f aca="false">TRIM(LEFT(C251,FIND(",",C251)-1))</f>
        <v>Zr</v>
      </c>
      <c r="O251" s="3" t="n">
        <f aca="false">IF(N251="","",_xlfn.XLOOKUP(TRIM(N251),Metallic_Radius_Table!A:A,Metallic_Radius_Table!B:B))</f>
        <v>1.6</v>
      </c>
      <c r="P251" s="0" t="str">
        <f aca="false">TRIM(MID(C251,FIND(",",C251)+1,5))</f>
        <v>W</v>
      </c>
      <c r="Q251" s="0" t="n">
        <f aca="false">IF(P251="","",_xlfn.XLOOKUP(TRIM(P251),Metallic_Radius_Table!A:A,Metallic_Radius_Table!B:B))</f>
        <v>1.41</v>
      </c>
      <c r="R251" s="0" t="str">
        <f aca="false">IF(G251&gt;=1,   "Ferromagnetic / Ferrimagnetic",   IF(G251&gt;=0.05,      "Paramagnetic / Weakly magnetic",      "Antiferromagnetic / Diamagnetic"))</f>
        <v>Ferromagnetic / Ferrimagnetic</v>
      </c>
      <c r="U251" s="0" t="str">
        <f aca="false">IF(G251&gt;=1,
   "FM → PM (Curie-type)",
   IF(G251&lt;0.05,
      "AFM → PM (Néel-type)",
      "No long-range magnetic transition"))</f>
        <v>FM → PM (Curie-type)</v>
      </c>
    </row>
    <row r="252" customFormat="false" ht="14.25" hidden="false" customHeight="false" outlineLevel="0" collapsed="false">
      <c r="A252" s="0" t="s">
        <v>589</v>
      </c>
      <c r="B252" s="0" t="s">
        <v>590</v>
      </c>
      <c r="C252" s="0" t="s">
        <v>591</v>
      </c>
      <c r="D252" s="0" t="n">
        <v>-2.7592427035</v>
      </c>
      <c r="E252" s="0" t="n">
        <v>0.174592803916665</v>
      </c>
      <c r="F252" s="0" t="n">
        <v>0</v>
      </c>
      <c r="G252" s="0" t="n">
        <v>9.8614031</v>
      </c>
      <c r="H252" s="0" t="s">
        <v>111</v>
      </c>
      <c r="I252" s="2" t="b">
        <f aca="false">TRUE()</f>
        <v>1</v>
      </c>
      <c r="J252" s="0" t="str">
        <f aca="false">IF(AND(CODE(MID(B252,2,1))&gt;=97,CODE(MID(B252,2,1))&lt;=122),LEFT(B252,2),LEFT(B252,1))</f>
        <v>Eu</v>
      </c>
      <c r="K252" s="0" t="n">
        <f aca="false">IF(J252="","",_xlfn.XLOOKUP(TRIM(J252),Metallic_Radius_Table!A:A,Metallic_Radius_Table!B:B))</f>
        <v>1.99</v>
      </c>
      <c r="L252" s="0" t="str">
        <f aca="false">IF(ISNUMBER(SEARCH("La",B252)),"La",
 IF(ISNUMBER(SEARCH("Nd",B252)),"Nd",
 IF(ISNUMBER(SEARCH("Eu",B252)),"Eu",
 IF(ISNUMBER(SEARCH("Gd",B252)),"Gd",""))))</f>
        <v>Eu</v>
      </c>
      <c r="M252" s="0" t="n">
        <f aca="false">IF(L252="","",_xlfn.XLOOKUP(TRIM(L252),Metallic_Radius_Table!A:A,Metallic_Radius_Table!B:B))</f>
        <v>1.99</v>
      </c>
      <c r="N252" s="0" t="str">
        <f aca="false">TRIM(LEFT(C252,FIND(",",C252)-1))</f>
        <v>Cr</v>
      </c>
      <c r="O252" s="3" t="n">
        <f aca="false">IF(N252="","",_xlfn.XLOOKUP(TRIM(N252),Metallic_Radius_Table!A:A,Metallic_Radius_Table!B:B))</f>
        <v>1.28</v>
      </c>
      <c r="P252" s="0" t="str">
        <f aca="false">TRIM(MID(C252,FIND(",",C252)+1,5))</f>
        <v>Hf</v>
      </c>
      <c r="Q252" s="0" t="n">
        <f aca="false">IF(P252="","",_xlfn.XLOOKUP(TRIM(P252),Metallic_Radius_Table!A:A,Metallic_Radius_Table!B:B))</f>
        <v>1.59</v>
      </c>
      <c r="R252" s="0" t="str">
        <f aca="false">IF(G252&gt;=1,   "Ferromagnetic / Ferrimagnetic",   IF(G252&gt;=0.05,      "Paramagnetic / Weakly magnetic",      "Antiferromagnetic / Diamagnetic"))</f>
        <v>Ferromagnetic / Ferrimagnetic</v>
      </c>
      <c r="U252" s="0" t="str">
        <f aca="false">IF(G252&gt;=1,
   "FM → PM (Curie-type)",
   IF(G252&lt;0.05,
      "AFM → PM (Néel-type)",
      "No long-range magnetic transition"))</f>
        <v>FM → PM (Curie-type)</v>
      </c>
    </row>
    <row r="253" customFormat="false" ht="14.25" hidden="false" customHeight="false" outlineLevel="0" collapsed="false">
      <c r="A253" s="0" t="s">
        <v>592</v>
      </c>
      <c r="B253" s="0" t="s">
        <v>593</v>
      </c>
      <c r="C253" s="0" t="s">
        <v>498</v>
      </c>
      <c r="D253" s="0" t="n">
        <v>-2.8105339522931</v>
      </c>
      <c r="E253" s="0" t="n">
        <v>0</v>
      </c>
      <c r="F253" s="0" t="n">
        <v>0.9184</v>
      </c>
      <c r="G253" s="0" t="n">
        <v>40.0000002</v>
      </c>
      <c r="H253" s="0" t="s">
        <v>352</v>
      </c>
      <c r="I253" s="2" t="b">
        <f aca="false">TRUE()</f>
        <v>1</v>
      </c>
      <c r="J253" s="0" t="str">
        <f aca="false">IF(AND(CODE(MID(B253,2,1))&gt;=97,CODE(MID(B253,2,1))&lt;=122),LEFT(B253,2),LEFT(B253,1))</f>
        <v>Gd</v>
      </c>
      <c r="K253" s="0" t="n">
        <f aca="false">IF(J253="","",_xlfn.XLOOKUP(TRIM(J253),Metallic_Radius_Table!A:A,Metallic_Radius_Table!B:B))</f>
        <v>1.8</v>
      </c>
      <c r="L253" s="0" t="str">
        <f aca="false">IF(ISNUMBER(SEARCH("La",B253)),"La",
 IF(ISNUMBER(SEARCH("Nd",B253)),"Nd",
 IF(ISNUMBER(SEARCH("Eu",B253)),"Eu",
 IF(ISNUMBER(SEARCH("Gd",B253)),"Gd",""))))</f>
        <v>Gd</v>
      </c>
      <c r="M253" s="0" t="n">
        <f aca="false">IF(L253="","",_xlfn.XLOOKUP(TRIM(L253),Metallic_Radius_Table!A:A,Metallic_Radius_Table!B:B))</f>
        <v>1.8</v>
      </c>
      <c r="N253" s="0" t="str">
        <f aca="false">TRIM(LEFT(C253,FIND(",",C253)-1))</f>
        <v>Co</v>
      </c>
      <c r="O253" s="3" t="n">
        <f aca="false">IF(N253="","",_xlfn.XLOOKUP(TRIM(N253),Metallic_Radius_Table!A:A,Metallic_Radius_Table!B:B))</f>
        <v>1.25</v>
      </c>
      <c r="P253" s="0" t="str">
        <f aca="false">TRIM(MID(C253,FIND(",",C253)+1,5))</f>
        <v>Mn</v>
      </c>
      <c r="Q253" s="0" t="n">
        <f aca="false">IF(P253="","",_xlfn.XLOOKUP(TRIM(P253),Metallic_Radius_Table!A:A,Metallic_Radius_Table!B:B))</f>
        <v>1.27</v>
      </c>
      <c r="R253" s="0" t="str">
        <f aca="false">IF(G253&gt;=1,   "Ferromagnetic / Ferrimagnetic",   IF(G253&gt;=0.05,      "Paramagnetic / Weakly magnetic",      "Antiferromagnetic / Diamagnetic"))</f>
        <v>Ferromagnetic / Ferrimagnetic</v>
      </c>
      <c r="U253" s="0" t="str">
        <f aca="false">IF(G253&gt;=1,
   "FM → PM (Curie-type)",
   IF(G253&lt;0.05,
      "AFM → PM (Néel-type)",
      "No long-range magnetic transition"))</f>
        <v>FM → PM (Curie-type)</v>
      </c>
    </row>
    <row r="254" customFormat="false" ht="14.25" hidden="false" customHeight="false" outlineLevel="0" collapsed="false">
      <c r="A254" s="0" t="s">
        <v>594</v>
      </c>
      <c r="B254" s="0" t="s">
        <v>595</v>
      </c>
      <c r="C254" s="0" t="s">
        <v>396</v>
      </c>
      <c r="D254" s="0" t="n">
        <v>-2.8014227372931</v>
      </c>
      <c r="E254" s="0" t="n">
        <v>0</v>
      </c>
      <c r="F254" s="0" t="n">
        <v>0</v>
      </c>
      <c r="G254" s="0" t="n">
        <v>38.0000002</v>
      </c>
      <c r="H254" s="0" t="s">
        <v>352</v>
      </c>
      <c r="I254" s="2" t="b">
        <f aca="false">TRUE()</f>
        <v>1</v>
      </c>
      <c r="J254" s="0" t="str">
        <f aca="false">IF(AND(CODE(MID(B254,2,1))&gt;=97,CODE(MID(B254,2,1))&lt;=122),LEFT(B254,2),LEFT(B254,1))</f>
        <v>Gd</v>
      </c>
      <c r="K254" s="0" t="n">
        <f aca="false">IF(J254="","",_xlfn.XLOOKUP(TRIM(J254),Metallic_Radius_Table!A:A,Metallic_Radius_Table!B:B))</f>
        <v>1.8</v>
      </c>
      <c r="L254" s="0" t="str">
        <f aca="false">IF(ISNUMBER(SEARCH("La",B254)),"La",
 IF(ISNUMBER(SEARCH("Nd",B254)),"Nd",
 IF(ISNUMBER(SEARCH("Eu",B254)),"Eu",
 IF(ISNUMBER(SEARCH("Gd",B254)),"Gd",""))))</f>
        <v>Gd</v>
      </c>
      <c r="M254" s="0" t="n">
        <f aca="false">IF(L254="","",_xlfn.XLOOKUP(TRIM(L254),Metallic_Radius_Table!A:A,Metallic_Radius_Table!B:B))</f>
        <v>1.8</v>
      </c>
      <c r="N254" s="0" t="str">
        <f aca="false">TRIM(LEFT(C254,FIND(",",C254)-1))</f>
        <v>Mn</v>
      </c>
      <c r="O254" s="3" t="n">
        <f aca="false">IF(N254="","",_xlfn.XLOOKUP(TRIM(N254),Metallic_Radius_Table!A:A,Metallic_Radius_Table!B:B))</f>
        <v>1.27</v>
      </c>
      <c r="P254" s="0" t="str">
        <f aca="false">TRIM(MID(C254,FIND(",",C254)+1,5))</f>
        <v>Ni</v>
      </c>
      <c r="Q254" s="0" t="n">
        <f aca="false">IF(P254="","",_xlfn.XLOOKUP(TRIM(P254),Metallic_Radius_Table!A:A,Metallic_Radius_Table!B:B))</f>
        <v>1.24</v>
      </c>
      <c r="R254" s="0" t="str">
        <f aca="false">IF(G254&gt;=1,   "Ferromagnetic / Ferrimagnetic",   IF(G254&gt;=0.05,      "Paramagnetic / Weakly magnetic",      "Antiferromagnetic / Diamagnetic"))</f>
        <v>Ferromagnetic / Ferrimagnetic</v>
      </c>
      <c r="U254" s="0" t="str">
        <f aca="false">IF(G254&gt;=1,
   "FM → PM (Curie-type)",
   IF(G254&lt;0.05,
      "AFM → PM (Néel-type)",
      "No long-range magnetic transition"))</f>
        <v>FM → PM (Curie-type)</v>
      </c>
    </row>
    <row r="255" customFormat="false" ht="14.25" hidden="false" customHeight="false" outlineLevel="0" collapsed="false">
      <c r="A255" s="0" t="s">
        <v>596</v>
      </c>
      <c r="B255" s="0" t="s">
        <v>597</v>
      </c>
      <c r="C255" s="0" t="s">
        <v>105</v>
      </c>
      <c r="D255" s="0" t="n">
        <v>-2.60155644449999</v>
      </c>
      <c r="E255" s="0" t="n">
        <v>0.027065080999996</v>
      </c>
      <c r="F255" s="0" t="n">
        <v>0</v>
      </c>
      <c r="G255" s="0" t="n">
        <v>36.0000013</v>
      </c>
      <c r="H255" s="0" t="s">
        <v>352</v>
      </c>
      <c r="I255" s="2" t="b">
        <f aca="false">TRUE()</f>
        <v>1</v>
      </c>
      <c r="J255" s="0" t="str">
        <f aca="false">IF(AND(CODE(MID(B255,2,1))&gt;=97,CODE(MID(B255,2,1))&lt;=122),LEFT(B255,2),LEFT(B255,1))</f>
        <v>Gd</v>
      </c>
      <c r="K255" s="0" t="n">
        <f aca="false">IF(J255="","",_xlfn.XLOOKUP(TRIM(J255),Metallic_Radius_Table!A:A,Metallic_Radius_Table!B:B))</f>
        <v>1.8</v>
      </c>
      <c r="L255" s="0" t="str">
        <f aca="false">IF(ISNUMBER(SEARCH("La",B255)),"La",
 IF(ISNUMBER(SEARCH("Nd",B255)),"Nd",
 IF(ISNUMBER(SEARCH("Eu",B255)),"Eu",
 IF(ISNUMBER(SEARCH("Gd",B255)),"Gd",""))))</f>
        <v>Gd</v>
      </c>
      <c r="M255" s="0" t="n">
        <f aca="false">IF(L255="","",_xlfn.XLOOKUP(TRIM(L255),Metallic_Radius_Table!A:A,Metallic_Radius_Table!B:B))</f>
        <v>1.8</v>
      </c>
      <c r="N255" s="0" t="str">
        <f aca="false">TRIM(LEFT(C255,FIND(",",C255)-1))</f>
        <v>Ni</v>
      </c>
      <c r="O255" s="3" t="n">
        <f aca="false">IF(N255="","",_xlfn.XLOOKUP(TRIM(N255),Metallic_Radius_Table!A:A,Metallic_Radius_Table!B:B))</f>
        <v>1.24</v>
      </c>
      <c r="P255" s="0" t="str">
        <f aca="false">TRIM(MID(C255,FIND(",",C255)+1,5))</f>
        <v>Ru</v>
      </c>
      <c r="Q255" s="0" t="n">
        <f aca="false">IF(P255="","",_xlfn.XLOOKUP(TRIM(P255),Metallic_Radius_Table!A:A,Metallic_Radius_Table!B:B))</f>
        <v>1.34</v>
      </c>
      <c r="R255" s="0" t="str">
        <f aca="false">IF(G255&gt;=1,   "Ferromagnetic / Ferrimagnetic",   IF(G255&gt;=0.05,      "Paramagnetic / Weakly magnetic",      "Antiferromagnetic / Diamagnetic"))</f>
        <v>Ferromagnetic / Ferrimagnetic</v>
      </c>
      <c r="U255" s="0" t="str">
        <f aca="false">IF(G255&gt;=1,
   "FM → PM (Curie-type)",
   IF(G255&lt;0.05,
      "AFM → PM (Néel-type)",
      "No long-range magnetic transition"))</f>
        <v>FM → PM (Curie-type)</v>
      </c>
    </row>
    <row r="256" customFormat="false" ht="14.25" hidden="false" customHeight="false" outlineLevel="0" collapsed="false">
      <c r="A256" s="0" t="s">
        <v>598</v>
      </c>
      <c r="B256" s="0" t="s">
        <v>599</v>
      </c>
      <c r="C256" s="0" t="s">
        <v>241</v>
      </c>
      <c r="D256" s="0" t="n">
        <v>-3.0350072365</v>
      </c>
      <c r="E256" s="0" t="n">
        <v>0.001298915750007</v>
      </c>
      <c r="F256" s="0" t="n">
        <v>1.6075</v>
      </c>
      <c r="G256" s="0" t="n">
        <v>37.9999995</v>
      </c>
      <c r="H256" s="0" t="s">
        <v>352</v>
      </c>
      <c r="I256" s="2" t="b">
        <f aca="false">TRUE()</f>
        <v>1</v>
      </c>
      <c r="J256" s="0" t="str">
        <f aca="false">IF(AND(CODE(MID(B256,2,1))&gt;=97,CODE(MID(B256,2,1))&lt;=122),LEFT(B256,2),LEFT(B256,1))</f>
        <v>Gd</v>
      </c>
      <c r="K256" s="0" t="n">
        <f aca="false">IF(J256="","",_xlfn.XLOOKUP(TRIM(J256),Metallic_Radius_Table!A:A,Metallic_Radius_Table!B:B))</f>
        <v>1.8</v>
      </c>
      <c r="L256" s="0" t="str">
        <f aca="false">IF(ISNUMBER(SEARCH("La",B256)),"La",
 IF(ISNUMBER(SEARCH("Nd",B256)),"Nd",
 IF(ISNUMBER(SEARCH("Eu",B256)),"Eu",
 IF(ISNUMBER(SEARCH("Gd",B256)),"Gd",""))))</f>
        <v>Gd</v>
      </c>
      <c r="M256" s="0" t="n">
        <f aca="false">IF(L256="","",_xlfn.XLOOKUP(TRIM(L256),Metallic_Radius_Table!A:A,Metallic_Radius_Table!B:B))</f>
        <v>1.8</v>
      </c>
      <c r="N256" s="0" t="str">
        <f aca="false">TRIM(LEFT(C256,FIND(",",C256)-1))</f>
        <v>Fe</v>
      </c>
      <c r="O256" s="3" t="n">
        <f aca="false">IF(N256="","",_xlfn.XLOOKUP(TRIM(N256),Metallic_Radius_Table!A:A,Metallic_Radius_Table!B:B))</f>
        <v>1.26</v>
      </c>
      <c r="P256" s="0" t="str">
        <f aca="false">TRIM(MID(C256,FIND(",",C256)+1,5))</f>
        <v>V</v>
      </c>
      <c r="Q256" s="0" t="n">
        <f aca="false">IF(P256="","",_xlfn.XLOOKUP(TRIM(P256),Metallic_Radius_Table!A:A,Metallic_Radius_Table!B:B))</f>
        <v>1.34</v>
      </c>
      <c r="R256" s="0" t="str">
        <f aca="false">IF(G256&gt;=1,   "Ferromagnetic / Ferrimagnetic",   IF(G256&gt;=0.05,      "Paramagnetic / Weakly magnetic",      "Antiferromagnetic / Diamagnetic"))</f>
        <v>Ferromagnetic / Ferrimagnetic</v>
      </c>
      <c r="U256" s="0" t="str">
        <f aca="false">IF(G256&gt;=1,
   "FM → PM (Curie-type)",
   IF(G256&lt;0.05,
      "AFM → PM (Néel-type)",
      "No long-range magnetic transition"))</f>
        <v>FM → PM (Curie-type)</v>
      </c>
    </row>
    <row r="257" customFormat="false" ht="14.25" hidden="false" customHeight="false" outlineLevel="0" collapsed="false">
      <c r="A257" s="0" t="s">
        <v>600</v>
      </c>
      <c r="B257" s="0" t="s">
        <v>601</v>
      </c>
      <c r="C257" s="0" t="s">
        <v>125</v>
      </c>
      <c r="D257" s="0" t="n">
        <v>-2.629141614725</v>
      </c>
      <c r="E257" s="0" t="n">
        <v>0.133338716383327</v>
      </c>
      <c r="F257" s="0" t="n">
        <v>0</v>
      </c>
      <c r="G257" s="0" t="n">
        <v>2</v>
      </c>
      <c r="H257" s="0" t="s">
        <v>111</v>
      </c>
      <c r="I257" s="2" t="b">
        <f aca="false">TRUE()</f>
        <v>1</v>
      </c>
      <c r="J257" s="0" t="str">
        <f aca="false">IF(AND(CODE(MID(B257,2,1))&gt;=97,CODE(MID(B257,2,1))&lt;=122),LEFT(B257,2),LEFT(B257,1))</f>
        <v>K</v>
      </c>
      <c r="K257" s="0" t="n">
        <f aca="false">IF(J257="","",_xlfn.XLOOKUP(TRIM(J257),Metallic_Radius_Table!A:A,Metallic_Radius_Table!B:B))</f>
        <v>2.27</v>
      </c>
      <c r="L257" s="0" t="str">
        <f aca="false">IF(ISNUMBER(SEARCH("La",B257)),"La",
 IF(ISNUMBER(SEARCH("Nd",B257)),"Nd",
 IF(ISNUMBER(SEARCH("Eu",B257)),"Eu",
 IF(ISNUMBER(SEARCH("Gd",B257)),"Gd",""))))</f>
        <v/>
      </c>
      <c r="M257" s="0" t="str">
        <f aca="false">IF(L257="","",_xlfn.XLOOKUP(TRIM(L257),Metallic_Radius_Table!A:A,Metallic_Radius_Table!B:B))</f>
        <v/>
      </c>
      <c r="N257" s="0" t="str">
        <f aca="false">TRIM(LEFT(C257,FIND(",",C257)-1))</f>
        <v>Nb</v>
      </c>
      <c r="O257" s="3" t="n">
        <f aca="false">IF(N257="","",_xlfn.XLOOKUP(TRIM(N257),Metallic_Radius_Table!A:A,Metallic_Radius_Table!B:B))</f>
        <v>1.46</v>
      </c>
      <c r="P257" s="0" t="str">
        <f aca="false">TRIM(MID(C257,FIND(",",C257)+1,5))</f>
        <v>W</v>
      </c>
      <c r="Q257" s="0" t="n">
        <f aca="false">IF(P257="","",_xlfn.XLOOKUP(TRIM(P257),Metallic_Radius_Table!A:A,Metallic_Radius_Table!B:B))</f>
        <v>1.41</v>
      </c>
      <c r="R257" s="0" t="str">
        <f aca="false">IF(G257&gt;=1,   "Ferromagnetic / Ferrimagnetic",   IF(G257&gt;=0.05,      "Paramagnetic / Weakly magnetic",      "Antiferromagnetic / Diamagnetic"))</f>
        <v>Ferromagnetic / Ferrimagnetic</v>
      </c>
      <c r="U257" s="0" t="str">
        <f aca="false">IF(G257&gt;=1,
   "FM → PM (Curie-type)",
   IF(G257&lt;0.05,
      "AFM → PM (Néel-type)",
      "No long-range magnetic transition"))</f>
        <v>FM → PM (Curie-type)</v>
      </c>
    </row>
    <row r="258" customFormat="false" ht="14.25" hidden="false" customHeight="false" outlineLevel="0" collapsed="false">
      <c r="A258" s="0" t="s">
        <v>602</v>
      </c>
      <c r="B258" s="0" t="s">
        <v>603</v>
      </c>
      <c r="C258" s="0" t="s">
        <v>128</v>
      </c>
      <c r="D258" s="0" t="n">
        <v>-3.186071456725</v>
      </c>
      <c r="E258" s="0" t="n">
        <v>0.075079918250001</v>
      </c>
      <c r="F258" s="0" t="n">
        <v>2.243</v>
      </c>
      <c r="G258" s="0" t="n">
        <v>0</v>
      </c>
      <c r="H258" s="0" t="s">
        <v>111</v>
      </c>
      <c r="I258" s="2" t="b">
        <f aca="false">TRUE()</f>
        <v>1</v>
      </c>
      <c r="J258" s="0" t="str">
        <f aca="false">IF(AND(CODE(MID(B258,2,1))&gt;=97,CODE(MID(B258,2,1))&lt;=122),LEFT(B258,2),LEFT(B258,1))</f>
        <v>K</v>
      </c>
      <c r="K258" s="0" t="n">
        <f aca="false">IF(J258="","",_xlfn.XLOOKUP(TRIM(J258),Metallic_Radius_Table!A:A,Metallic_Radius_Table!B:B))</f>
        <v>2.27</v>
      </c>
      <c r="L258" s="0" t="str">
        <f aca="false">IF(ISNUMBER(SEARCH("La",B258)),"La",
 IF(ISNUMBER(SEARCH("Nd",B258)),"Nd",
 IF(ISNUMBER(SEARCH("Eu",B258)),"Eu",
 IF(ISNUMBER(SEARCH("Gd",B258)),"Gd",""))))</f>
        <v/>
      </c>
      <c r="M258" s="0" t="str">
        <f aca="false">IF(L258="","",_xlfn.XLOOKUP(TRIM(L258),Metallic_Radius_Table!A:A,Metallic_Radius_Table!B:B))</f>
        <v/>
      </c>
      <c r="N258" s="0" t="str">
        <f aca="false">TRIM(LEFT(C258,FIND(",",C258)-1))</f>
        <v>Zr</v>
      </c>
      <c r="O258" s="3" t="n">
        <f aca="false">IF(N258="","",_xlfn.XLOOKUP(TRIM(N258),Metallic_Radius_Table!A:A,Metallic_Radius_Table!B:B))</f>
        <v>1.6</v>
      </c>
      <c r="P258" s="0" t="str">
        <f aca="false">TRIM(MID(C258,FIND(",",C258)+1,5))</f>
        <v>Nb</v>
      </c>
      <c r="Q258" s="0" t="n">
        <f aca="false">IF(P258="","",_xlfn.XLOOKUP(TRIM(P258),Metallic_Radius_Table!A:A,Metallic_Radius_Table!B:B))</f>
        <v>1.46</v>
      </c>
      <c r="R258" s="0" t="str">
        <f aca="false">IF(G258&gt;=1,   "Ferromagnetic / Ferrimagnetic",   IF(G258&gt;=0.05,      "Paramagnetic / Weakly magnetic",      "Antiferromagnetic / Diamagnetic"))</f>
        <v>Antiferromagnetic / Diamagnetic</v>
      </c>
      <c r="U258" s="0" t="str">
        <f aca="false">IF(G258&gt;=1,
   "FM → PM (Curie-type)",
   IF(G258&lt;0.05,
      "AFM → PM (Néel-type)",
      "No long-range magnetic transition"))</f>
        <v>AFM → PM (Néel-type)</v>
      </c>
    </row>
    <row r="259" customFormat="false" ht="14.25" hidden="false" customHeight="false" outlineLevel="0" collapsed="false">
      <c r="A259" s="0" t="s">
        <v>604</v>
      </c>
      <c r="B259" s="0" t="s">
        <v>605</v>
      </c>
      <c r="C259" s="0" t="s">
        <v>323</v>
      </c>
      <c r="D259" s="0" t="n">
        <v>-2.595830415225</v>
      </c>
      <c r="E259" s="0" t="n">
        <v>0.186028146124993</v>
      </c>
      <c r="F259" s="0" t="n">
        <v>0</v>
      </c>
      <c r="G259" s="0" t="n">
        <v>10.0001713</v>
      </c>
      <c r="H259" s="0" t="s">
        <v>111</v>
      </c>
      <c r="I259" s="2" t="b">
        <f aca="false">TRUE()</f>
        <v>1</v>
      </c>
      <c r="J259" s="0" t="str">
        <f aca="false">IF(AND(CODE(MID(B259,2,1))&gt;=97,CODE(MID(B259,2,1))&lt;=122),LEFT(B259,2),LEFT(B259,1))</f>
        <v>K</v>
      </c>
      <c r="K259" s="0" t="n">
        <f aca="false">IF(J259="","",_xlfn.XLOOKUP(TRIM(J259),Metallic_Radius_Table!A:A,Metallic_Radius_Table!B:B))</f>
        <v>2.27</v>
      </c>
      <c r="L259" s="0" t="str">
        <f aca="false">IF(ISNUMBER(SEARCH("La",B259)),"La",
 IF(ISNUMBER(SEARCH("Nd",B259)),"Nd",
 IF(ISNUMBER(SEARCH("Eu",B259)),"Eu",
 IF(ISNUMBER(SEARCH("Gd",B259)),"Gd",""))))</f>
        <v>Eu</v>
      </c>
      <c r="M259" s="0" t="n">
        <f aca="false">IF(L259="","",_xlfn.XLOOKUP(TRIM(L259),Metallic_Radius_Table!A:A,Metallic_Radius_Table!B:B))</f>
        <v>1.99</v>
      </c>
      <c r="N259" s="0" t="str">
        <f aca="false">TRIM(LEFT(C259,FIND(",",C259)-1))</f>
        <v>Fe</v>
      </c>
      <c r="O259" s="3" t="n">
        <f aca="false">IF(N259="","",_xlfn.XLOOKUP(TRIM(N259),Metallic_Radius_Table!A:A,Metallic_Radius_Table!B:B))</f>
        <v>1.26</v>
      </c>
      <c r="P259" s="0" t="str">
        <f aca="false">TRIM(MID(C259,FIND(",",C259)+1,5))</f>
        <v>Hf</v>
      </c>
      <c r="Q259" s="0" t="n">
        <f aca="false">IF(P259="","",_xlfn.XLOOKUP(TRIM(P259),Metallic_Radius_Table!A:A,Metallic_Radius_Table!B:B))</f>
        <v>1.59</v>
      </c>
      <c r="R259" s="0" t="str">
        <f aca="false">IF(G259&gt;=1,   "Ferromagnetic / Ferrimagnetic",   IF(G259&gt;=0.05,      "Paramagnetic / Weakly magnetic",      "Antiferromagnetic / Diamagnetic"))</f>
        <v>Ferromagnetic / Ferrimagnetic</v>
      </c>
      <c r="U259" s="0" t="str">
        <f aca="false">IF(G259&gt;=1,
   "FM → PM (Curie-type)",
   IF(G259&lt;0.05,
      "AFM → PM (Néel-type)",
      "No long-range magnetic transition"))</f>
        <v>FM → PM (Curie-type)</v>
      </c>
    </row>
    <row r="260" customFormat="false" ht="14.25" hidden="false" customHeight="false" outlineLevel="0" collapsed="false">
      <c r="A260" s="0" t="s">
        <v>606</v>
      </c>
      <c r="B260" s="0" t="s">
        <v>607</v>
      </c>
      <c r="C260" s="0" t="s">
        <v>148</v>
      </c>
      <c r="D260" s="0" t="n">
        <v>-3.29291488855833</v>
      </c>
      <c r="E260" s="0" t="n">
        <v>0.150275441749997</v>
      </c>
      <c r="F260" s="0" t="n">
        <v>0</v>
      </c>
      <c r="G260" s="0" t="n">
        <v>6.0007605</v>
      </c>
      <c r="H260" s="0" t="s">
        <v>111</v>
      </c>
      <c r="I260" s="2" t="b">
        <f aca="false">TRUE()</f>
        <v>1</v>
      </c>
      <c r="J260" s="0" t="str">
        <f aca="false">IF(AND(CODE(MID(B260,2,1))&gt;=97,CODE(MID(B260,2,1))&lt;=122),LEFT(B260,2),LEFT(B260,1))</f>
        <v>K</v>
      </c>
      <c r="K260" s="0" t="n">
        <f aca="false">IF(J260="","",_xlfn.XLOOKUP(TRIM(J260),Metallic_Radius_Table!A:A,Metallic_Radius_Table!B:B))</f>
        <v>2.27</v>
      </c>
      <c r="L260" s="0" t="str">
        <f aca="false">IF(ISNUMBER(SEARCH("La",B260)),"La",
 IF(ISNUMBER(SEARCH("Nd",B260)),"Nd",
 IF(ISNUMBER(SEARCH("Eu",B260)),"Eu",
 IF(ISNUMBER(SEARCH("Gd",B260)),"Gd",""))))</f>
        <v>Eu</v>
      </c>
      <c r="M260" s="0" t="n">
        <f aca="false">IF(L260="","",_xlfn.XLOOKUP(TRIM(L260),Metallic_Radius_Table!A:A,Metallic_Radius_Table!B:B))</f>
        <v>1.99</v>
      </c>
      <c r="N260" s="0" t="str">
        <f aca="false">TRIM(LEFT(C260,FIND(",",C260)-1))</f>
        <v>Hf</v>
      </c>
      <c r="O260" s="3" t="n">
        <f aca="false">IF(N260="","",_xlfn.XLOOKUP(TRIM(N260),Metallic_Radius_Table!A:A,Metallic_Radius_Table!B:B))</f>
        <v>1.59</v>
      </c>
      <c r="P260" s="0" t="str">
        <f aca="false">TRIM(MID(C260,FIND(",",C260)+1,5))</f>
        <v>Ti</v>
      </c>
      <c r="Q260" s="0" t="n">
        <f aca="false">IF(P260="","",_xlfn.XLOOKUP(TRIM(P260),Metallic_Radius_Table!A:A,Metallic_Radius_Table!B:B))</f>
        <v>1.47</v>
      </c>
      <c r="R260" s="0" t="str">
        <f aca="false">IF(G260&gt;=1,   "Ferromagnetic / Ferrimagnetic",   IF(G260&gt;=0.05,      "Paramagnetic / Weakly magnetic",      "Antiferromagnetic / Diamagnetic"))</f>
        <v>Ferromagnetic / Ferrimagnetic</v>
      </c>
      <c r="U260" s="0" t="str">
        <f aca="false">IF(G260&gt;=1,
   "FM → PM (Curie-type)",
   IF(G260&lt;0.05,
      "AFM → PM (Néel-type)",
      "No long-range magnetic transition"))</f>
        <v>FM → PM (Curie-type)</v>
      </c>
    </row>
    <row r="261" customFormat="false" ht="14.25" hidden="false" customHeight="false" outlineLevel="0" collapsed="false">
      <c r="A261" s="0" t="s">
        <v>608</v>
      </c>
      <c r="B261" s="0" t="s">
        <v>609</v>
      </c>
      <c r="C261" s="0" t="s">
        <v>120</v>
      </c>
      <c r="D261" s="0" t="n">
        <v>-3.327640105225</v>
      </c>
      <c r="E261" s="0" t="n">
        <v>0.166383261137495</v>
      </c>
      <c r="F261" s="0" t="n">
        <v>0</v>
      </c>
      <c r="G261" s="0" t="n">
        <v>6.000085</v>
      </c>
      <c r="H261" s="0" t="s">
        <v>111</v>
      </c>
      <c r="I261" s="2" t="b">
        <f aca="false">TRUE()</f>
        <v>1</v>
      </c>
      <c r="J261" s="0" t="str">
        <f aca="false">IF(AND(CODE(MID(B261,2,1))&gt;=97,CODE(MID(B261,2,1))&lt;=122),LEFT(B261,2),LEFT(B261,1))</f>
        <v>K</v>
      </c>
      <c r="K261" s="0" t="n">
        <f aca="false">IF(J261="","",_xlfn.XLOOKUP(TRIM(J261),Metallic_Radius_Table!A:A,Metallic_Radius_Table!B:B))</f>
        <v>2.27</v>
      </c>
      <c r="L261" s="0" t="str">
        <f aca="false">IF(ISNUMBER(SEARCH("La",B261)),"La",
 IF(ISNUMBER(SEARCH("Nd",B261)),"Nd",
 IF(ISNUMBER(SEARCH("Eu",B261)),"Eu",
 IF(ISNUMBER(SEARCH("Gd",B261)),"Gd",""))))</f>
        <v>Eu</v>
      </c>
      <c r="M261" s="0" t="n">
        <f aca="false">IF(L261="","",_xlfn.XLOOKUP(TRIM(L261),Metallic_Radius_Table!A:A,Metallic_Radius_Table!B:B))</f>
        <v>1.99</v>
      </c>
      <c r="N261" s="0" t="str">
        <f aca="false">TRIM(LEFT(C261,FIND(",",C261)-1))</f>
        <v>Zr</v>
      </c>
      <c r="O261" s="3" t="n">
        <f aca="false">IF(N261="","",_xlfn.XLOOKUP(TRIM(N261),Metallic_Radius_Table!A:A,Metallic_Radius_Table!B:B))</f>
        <v>1.6</v>
      </c>
      <c r="P261" s="0" t="str">
        <f aca="false">TRIM(MID(C261,FIND(",",C261)+1,5))</f>
        <v>Hf</v>
      </c>
      <c r="Q261" s="0" t="n">
        <f aca="false">IF(P261="","",_xlfn.XLOOKUP(TRIM(P261),Metallic_Radius_Table!A:A,Metallic_Radius_Table!B:B))</f>
        <v>1.59</v>
      </c>
      <c r="R261" s="0" t="str">
        <f aca="false">IF(G261&gt;=1,   "Ferromagnetic / Ferrimagnetic",   IF(G261&gt;=0.05,      "Paramagnetic / Weakly magnetic",      "Antiferromagnetic / Diamagnetic"))</f>
        <v>Ferromagnetic / Ferrimagnetic</v>
      </c>
      <c r="U261" s="0" t="str">
        <f aca="false">IF(G261&gt;=1,
   "FM → PM (Curie-type)",
   IF(G261&lt;0.05,
      "AFM → PM (Néel-type)",
      "No long-range magnetic transition"))</f>
        <v>FM → PM (Curie-type)</v>
      </c>
    </row>
    <row r="262" customFormat="false" ht="14.25" hidden="false" customHeight="false" outlineLevel="0" collapsed="false">
      <c r="A262" s="0" t="s">
        <v>610</v>
      </c>
      <c r="B262" s="0" t="s">
        <v>611</v>
      </c>
      <c r="C262" s="0" t="s">
        <v>53</v>
      </c>
      <c r="D262" s="0" t="n">
        <v>-1.781921515725</v>
      </c>
      <c r="E262" s="0" t="n">
        <v>0.184555950999996</v>
      </c>
      <c r="F262" s="0" t="n">
        <v>0</v>
      </c>
      <c r="G262" s="0" t="n">
        <v>4.1747848</v>
      </c>
      <c r="H262" s="0" t="s">
        <v>111</v>
      </c>
      <c r="I262" s="2" t="b">
        <f aca="false">TRUE()</f>
        <v>1</v>
      </c>
      <c r="J262" s="0" t="str">
        <f aca="false">IF(AND(CODE(MID(B262,2,1))&gt;=97,CODE(MID(B262,2,1))&lt;=122),LEFT(B262,2),LEFT(B262,1))</f>
        <v>K</v>
      </c>
      <c r="K262" s="0" t="n">
        <f aca="false">IF(J262="","",_xlfn.XLOOKUP(TRIM(J262),Metallic_Radius_Table!A:A,Metallic_Radius_Table!B:B))</f>
        <v>2.27</v>
      </c>
      <c r="L262" s="0" t="str">
        <f aca="false">IF(ISNUMBER(SEARCH("La",B262)),"La",
 IF(ISNUMBER(SEARCH("Nd",B262)),"Nd",
 IF(ISNUMBER(SEARCH("Eu",B262)),"Eu",
 IF(ISNUMBER(SEARCH("Gd",B262)),"Gd",""))))</f>
        <v/>
      </c>
      <c r="M262" s="0" t="str">
        <f aca="false">IF(L262="","",_xlfn.XLOOKUP(TRIM(L262),Metallic_Radius_Table!A:A,Metallic_Radius_Table!B:B))</f>
        <v/>
      </c>
      <c r="N262" s="0" t="str">
        <f aca="false">TRIM(LEFT(C262,FIND(",",C262)-1))</f>
        <v>Fe</v>
      </c>
      <c r="O262" s="3" t="n">
        <f aca="false">IF(N262="","",_xlfn.XLOOKUP(TRIM(N262),Metallic_Radius_Table!A:A,Metallic_Radius_Table!B:B))</f>
        <v>1.26</v>
      </c>
      <c r="P262" s="0" t="str">
        <f aca="false">TRIM(MID(C262,FIND(",",C262)+1,5))</f>
        <v>W</v>
      </c>
      <c r="Q262" s="0" t="n">
        <f aca="false">IF(P262="","",_xlfn.XLOOKUP(TRIM(P262),Metallic_Radius_Table!A:A,Metallic_Radius_Table!B:B))</f>
        <v>1.41</v>
      </c>
      <c r="R262" s="0" t="str">
        <f aca="false">IF(G262&gt;=1,   "Ferromagnetic / Ferrimagnetic",   IF(G262&gt;=0.05,      "Paramagnetic / Weakly magnetic",      "Antiferromagnetic / Diamagnetic"))</f>
        <v>Ferromagnetic / Ferrimagnetic</v>
      </c>
      <c r="U262" s="0" t="str">
        <f aca="false">IF(G262&gt;=1,
   "FM → PM (Curie-type)",
   IF(G262&lt;0.05,
      "AFM → PM (Néel-type)",
      "No long-range magnetic transition"))</f>
        <v>FM → PM (Curie-type)</v>
      </c>
    </row>
    <row r="263" customFormat="false" ht="14.25" hidden="false" customHeight="false" outlineLevel="0" collapsed="false">
      <c r="A263" s="0" t="s">
        <v>612</v>
      </c>
      <c r="B263" s="0" t="s">
        <v>613</v>
      </c>
      <c r="C263" s="0" t="s">
        <v>148</v>
      </c>
      <c r="D263" s="0" t="n">
        <v>-3.39346604005833</v>
      </c>
      <c r="E263" s="0" t="n">
        <v>0.182236036249994</v>
      </c>
      <c r="F263" s="0" t="n">
        <v>0.8886</v>
      </c>
      <c r="G263" s="0" t="n">
        <v>6.9999997</v>
      </c>
      <c r="H263" s="0" t="s">
        <v>111</v>
      </c>
      <c r="I263" s="2" t="b">
        <f aca="false">TRUE()</f>
        <v>1</v>
      </c>
      <c r="J263" s="0" t="str">
        <f aca="false">IF(AND(CODE(MID(B263,2,1))&gt;=97,CODE(MID(B263,2,1))&lt;=122),LEFT(B263,2),LEFT(B263,1))</f>
        <v>K</v>
      </c>
      <c r="K263" s="0" t="n">
        <f aca="false">IF(J263="","",_xlfn.XLOOKUP(TRIM(J263),Metallic_Radius_Table!A:A,Metallic_Radius_Table!B:B))</f>
        <v>2.27</v>
      </c>
      <c r="L263" s="0" t="str">
        <f aca="false">IF(ISNUMBER(SEARCH("La",B263)),"La",
 IF(ISNUMBER(SEARCH("Nd",B263)),"Nd",
 IF(ISNUMBER(SEARCH("Eu",B263)),"Eu",
 IF(ISNUMBER(SEARCH("Gd",B263)),"Gd",""))))</f>
        <v>Gd</v>
      </c>
      <c r="M263" s="0" t="n">
        <f aca="false">IF(L263="","",_xlfn.XLOOKUP(TRIM(L263),Metallic_Radius_Table!A:A,Metallic_Radius_Table!B:B))</f>
        <v>1.8</v>
      </c>
      <c r="N263" s="0" t="str">
        <f aca="false">TRIM(LEFT(C263,FIND(",",C263)-1))</f>
        <v>Hf</v>
      </c>
      <c r="O263" s="3" t="n">
        <f aca="false">IF(N263="","",_xlfn.XLOOKUP(TRIM(N263),Metallic_Radius_Table!A:A,Metallic_Radius_Table!B:B))</f>
        <v>1.59</v>
      </c>
      <c r="P263" s="0" t="str">
        <f aca="false">TRIM(MID(C263,FIND(",",C263)+1,5))</f>
        <v>Ti</v>
      </c>
      <c r="Q263" s="0" t="n">
        <f aca="false">IF(P263="","",_xlfn.XLOOKUP(TRIM(P263),Metallic_Radius_Table!A:A,Metallic_Radius_Table!B:B))</f>
        <v>1.47</v>
      </c>
      <c r="R263" s="0" t="str">
        <f aca="false">IF(G263&gt;=1,   "Ferromagnetic / Ferrimagnetic",   IF(G263&gt;=0.05,      "Paramagnetic / Weakly magnetic",      "Antiferromagnetic / Diamagnetic"))</f>
        <v>Ferromagnetic / Ferrimagnetic</v>
      </c>
      <c r="U263" s="0" t="str">
        <f aca="false">IF(G263&gt;=1,
   "FM → PM (Curie-type)",
   IF(G263&lt;0.05,
      "AFM → PM (Néel-type)",
      "No long-range magnetic transition"))</f>
        <v>FM → PM (Curie-type)</v>
      </c>
    </row>
    <row r="264" customFormat="false" ht="14.25" hidden="false" customHeight="false" outlineLevel="0" collapsed="false">
      <c r="A264" s="0" t="s">
        <v>614</v>
      </c>
      <c r="B264" s="0" t="s">
        <v>615</v>
      </c>
      <c r="C264" s="0" t="s">
        <v>114</v>
      </c>
      <c r="D264" s="0" t="n">
        <v>-2.726267619725</v>
      </c>
      <c r="E264" s="0" t="n">
        <v>0.180691646416663</v>
      </c>
      <c r="F264" s="0" t="n">
        <v>0</v>
      </c>
      <c r="G264" s="0" t="n">
        <v>0.000896</v>
      </c>
      <c r="H264" s="0" t="s">
        <v>111</v>
      </c>
      <c r="I264" s="2" t="b">
        <f aca="false">TRUE()</f>
        <v>1</v>
      </c>
      <c r="J264" s="0" t="str">
        <f aca="false">IF(AND(CODE(MID(B264,2,1))&gt;=97,CODE(MID(B264,2,1))&lt;=122),LEFT(B264,2),LEFT(B264,1))</f>
        <v>K</v>
      </c>
      <c r="K264" s="0" t="n">
        <f aca="false">IF(J264="","",_xlfn.XLOOKUP(TRIM(J264),Metallic_Radius_Table!A:A,Metallic_Radius_Table!B:B))</f>
        <v>2.27</v>
      </c>
      <c r="L264" s="0" t="str">
        <f aca="false">IF(ISNUMBER(SEARCH("La",B264)),"La",
 IF(ISNUMBER(SEARCH("Nd",B264)),"Nd",
 IF(ISNUMBER(SEARCH("Eu",B264)),"Eu",
 IF(ISNUMBER(SEARCH("Gd",B264)),"Gd",""))))</f>
        <v/>
      </c>
      <c r="M264" s="0" t="str">
        <f aca="false">IF(L264="","",_xlfn.XLOOKUP(TRIM(L264),Metallic_Radius_Table!A:A,Metallic_Radius_Table!B:B))</f>
        <v/>
      </c>
      <c r="N264" s="0" t="str">
        <f aca="false">TRIM(LEFT(C264,FIND(",",C264)-1))</f>
        <v>Nb</v>
      </c>
      <c r="O264" s="3" t="n">
        <f aca="false">IF(N264="","",_xlfn.XLOOKUP(TRIM(N264),Metallic_Radius_Table!A:A,Metallic_Radius_Table!B:B))</f>
        <v>1.46</v>
      </c>
      <c r="P264" s="0" t="str">
        <f aca="false">TRIM(MID(C264,FIND(",",C264)+1,5))</f>
        <v>Hf</v>
      </c>
      <c r="Q264" s="0" t="n">
        <f aca="false">IF(P264="","",_xlfn.XLOOKUP(TRIM(P264),Metallic_Radius_Table!A:A,Metallic_Radius_Table!B:B))</f>
        <v>1.59</v>
      </c>
      <c r="R264" s="0" t="str">
        <f aca="false">IF(G264&gt;=1,   "Ferromagnetic / Ferrimagnetic",   IF(G264&gt;=0.05,      "Paramagnetic / Weakly magnetic",      "Antiferromagnetic / Diamagnetic"))</f>
        <v>Antiferromagnetic / Diamagnetic</v>
      </c>
      <c r="U264" s="0" t="str">
        <f aca="false">IF(G264&gt;=1,
   "FM → PM (Curie-type)",
   IF(G264&lt;0.05,
      "AFM → PM (Néel-type)",
      "No long-range magnetic transition"))</f>
        <v>AFM → PM (Néel-type)</v>
      </c>
    </row>
    <row r="265" customFormat="false" ht="14.25" hidden="false" customHeight="false" outlineLevel="0" collapsed="false">
      <c r="A265" s="0" t="s">
        <v>616</v>
      </c>
      <c r="B265" s="0" t="s">
        <v>617</v>
      </c>
      <c r="C265" s="0" t="s">
        <v>114</v>
      </c>
      <c r="D265" s="0" t="n">
        <v>-2.77546616139166</v>
      </c>
      <c r="E265" s="0" t="n">
        <v>0.188885555694442</v>
      </c>
      <c r="F265" s="0" t="n">
        <v>0</v>
      </c>
      <c r="G265" s="4" t="n">
        <v>4.46E-005</v>
      </c>
      <c r="H265" s="0" t="s">
        <v>111</v>
      </c>
      <c r="I265" s="2" t="b">
        <f aca="false">TRUE()</f>
        <v>1</v>
      </c>
      <c r="J265" s="0" t="str">
        <f aca="false">IF(AND(CODE(MID(B265,2,1))&gt;=97,CODE(MID(B265,2,1))&lt;=122),LEFT(B265,2),LEFT(B265,1))</f>
        <v>K</v>
      </c>
      <c r="K265" s="0" t="n">
        <f aca="false">IF(J265="","",_xlfn.XLOOKUP(TRIM(J265),Metallic_Radius_Table!A:A,Metallic_Radius_Table!B:B))</f>
        <v>2.27</v>
      </c>
      <c r="L265" s="0" t="str">
        <f aca="false">IF(ISNUMBER(SEARCH("La",B265)),"La",
 IF(ISNUMBER(SEARCH("Nd",B265)),"Nd",
 IF(ISNUMBER(SEARCH("Eu",B265)),"Eu",
 IF(ISNUMBER(SEARCH("Gd",B265)),"Gd",""))))</f>
        <v/>
      </c>
      <c r="M265" s="0" t="str">
        <f aca="false">IF(L265="","",_xlfn.XLOOKUP(TRIM(L265),Metallic_Radius_Table!A:A,Metallic_Radius_Table!B:B))</f>
        <v/>
      </c>
      <c r="N265" s="0" t="str">
        <f aca="false">TRIM(LEFT(C265,FIND(",",C265)-1))</f>
        <v>Nb</v>
      </c>
      <c r="O265" s="3" t="n">
        <f aca="false">IF(N265="","",_xlfn.XLOOKUP(TRIM(N265),Metallic_Radius_Table!A:A,Metallic_Radius_Table!B:B))</f>
        <v>1.46</v>
      </c>
      <c r="P265" s="0" t="str">
        <f aca="false">TRIM(MID(C265,FIND(",",C265)+1,5))</f>
        <v>Hf</v>
      </c>
      <c r="Q265" s="0" t="n">
        <f aca="false">IF(P265="","",_xlfn.XLOOKUP(TRIM(P265),Metallic_Radius_Table!A:A,Metallic_Radius_Table!B:B))</f>
        <v>1.59</v>
      </c>
      <c r="R265" s="0" t="str">
        <f aca="false">IF(G265&gt;=1,   "Ferromagnetic / Ferrimagnetic",   IF(G265&gt;=0.05,      "Paramagnetic / Weakly magnetic",      "Antiferromagnetic / Diamagnetic"))</f>
        <v>Antiferromagnetic / Diamagnetic</v>
      </c>
      <c r="U265" s="0" t="str">
        <f aca="false">IF(G265&gt;=1,
   "FM → PM (Curie-type)",
   IF(G265&lt;0.05,
      "AFM → PM (Néel-type)",
      "No long-range magnetic transition"))</f>
        <v>AFM → PM (Néel-type)</v>
      </c>
    </row>
    <row r="266" customFormat="false" ht="14.25" hidden="false" customHeight="false" outlineLevel="0" collapsed="false">
      <c r="A266" s="0" t="s">
        <v>618</v>
      </c>
      <c r="B266" s="0" t="s">
        <v>619</v>
      </c>
      <c r="C266" s="0" t="s">
        <v>120</v>
      </c>
      <c r="D266" s="0" t="n">
        <v>-2.87165938672499</v>
      </c>
      <c r="E266" s="0" t="n">
        <v>0.172999919200016</v>
      </c>
      <c r="F266" s="0" t="n">
        <v>0.802</v>
      </c>
      <c r="G266" s="0" t="n">
        <v>0</v>
      </c>
      <c r="H266" s="0" t="s">
        <v>111</v>
      </c>
      <c r="I266" s="2" t="b">
        <f aca="false">TRUE()</f>
        <v>1</v>
      </c>
      <c r="J266" s="0" t="str">
        <f aca="false">IF(AND(CODE(MID(B266,2,1))&gt;=97,CODE(MID(B266,2,1))&lt;=122),LEFT(B266,2),LEFT(B266,1))</f>
        <v>K</v>
      </c>
      <c r="K266" s="0" t="n">
        <f aca="false">IF(J266="","",_xlfn.XLOOKUP(TRIM(J266),Metallic_Radius_Table!A:A,Metallic_Radius_Table!B:B))</f>
        <v>2.27</v>
      </c>
      <c r="L266" s="0" t="str">
        <f aca="false">IF(ISNUMBER(SEARCH("La",B266)),"La",
 IF(ISNUMBER(SEARCH("Nd",B266)),"Nd",
 IF(ISNUMBER(SEARCH("Eu",B266)),"Eu",
 IF(ISNUMBER(SEARCH("Gd",B266)),"Gd",""))))</f>
        <v/>
      </c>
      <c r="M266" s="0" t="str">
        <f aca="false">IF(L266="","",_xlfn.XLOOKUP(TRIM(L266),Metallic_Radius_Table!A:A,Metallic_Radius_Table!B:B))</f>
        <v/>
      </c>
      <c r="N266" s="0" t="str">
        <f aca="false">TRIM(LEFT(C266,FIND(",",C266)-1))</f>
        <v>Zr</v>
      </c>
      <c r="O266" s="3" t="n">
        <f aca="false">IF(N266="","",_xlfn.XLOOKUP(TRIM(N266),Metallic_Radius_Table!A:A,Metallic_Radius_Table!B:B))</f>
        <v>1.6</v>
      </c>
      <c r="P266" s="0" t="str">
        <f aca="false">TRIM(MID(C266,FIND(",",C266)+1,5))</f>
        <v>Hf</v>
      </c>
      <c r="Q266" s="0" t="n">
        <f aca="false">IF(P266="","",_xlfn.XLOOKUP(TRIM(P266),Metallic_Radius_Table!A:A,Metallic_Radius_Table!B:B))</f>
        <v>1.59</v>
      </c>
      <c r="R266" s="0" t="str">
        <f aca="false">IF(G266&gt;=1,   "Ferromagnetic / Ferrimagnetic",   IF(G266&gt;=0.05,      "Paramagnetic / Weakly magnetic",      "Antiferromagnetic / Diamagnetic"))</f>
        <v>Antiferromagnetic / Diamagnetic</v>
      </c>
      <c r="U266" s="0" t="str">
        <f aca="false">IF(G266&gt;=1,
   "FM → PM (Curie-type)",
   IF(G266&lt;0.05,
      "AFM → PM (Néel-type)",
      "No long-range magnetic transition"))</f>
        <v>AFM → PM (Néel-type)</v>
      </c>
    </row>
    <row r="267" customFormat="false" ht="14.25" hidden="false" customHeight="false" outlineLevel="0" collapsed="false">
      <c r="A267" s="0" t="s">
        <v>620</v>
      </c>
      <c r="B267" s="0" t="s">
        <v>621</v>
      </c>
      <c r="C267" s="0" t="s">
        <v>35</v>
      </c>
      <c r="D267" s="0" t="n">
        <v>-2.350055765225</v>
      </c>
      <c r="E267" s="0" t="n">
        <v>0.180428104250001</v>
      </c>
      <c r="F267" s="0" t="n">
        <v>0</v>
      </c>
      <c r="G267" s="0" t="n">
        <v>3</v>
      </c>
      <c r="H267" s="0" t="s">
        <v>111</v>
      </c>
      <c r="I267" s="2" t="b">
        <f aca="false">TRUE()</f>
        <v>1</v>
      </c>
      <c r="J267" s="0" t="str">
        <f aca="false">IF(AND(CODE(MID(B267,2,1))&gt;=97,CODE(MID(B267,2,1))&lt;=122),LEFT(B267,2),LEFT(B267,1))</f>
        <v>K</v>
      </c>
      <c r="K267" s="0" t="n">
        <f aca="false">IF(J267="","",_xlfn.XLOOKUP(TRIM(J267),Metallic_Radius_Table!A:A,Metallic_Radius_Table!B:B))</f>
        <v>2.27</v>
      </c>
      <c r="L267" s="0" t="str">
        <f aca="false">IF(ISNUMBER(SEARCH("La",B267)),"La",
 IF(ISNUMBER(SEARCH("Nd",B267)),"Nd",
 IF(ISNUMBER(SEARCH("Eu",B267)),"Eu",
 IF(ISNUMBER(SEARCH("Gd",B267)),"Gd",""))))</f>
        <v>La</v>
      </c>
      <c r="M267" s="0" t="n">
        <f aca="false">IF(L267="","",_xlfn.XLOOKUP(TRIM(L267),Metallic_Radius_Table!A:A,Metallic_Radius_Table!B:B))</f>
        <v>1.87</v>
      </c>
      <c r="N267" s="0" t="str">
        <f aca="false">TRIM(LEFT(C267,FIND(",",C267)-1))</f>
        <v>Co</v>
      </c>
      <c r="O267" s="3" t="n">
        <f aca="false">IF(N267="","",_xlfn.XLOOKUP(TRIM(N267),Metallic_Radius_Table!A:A,Metallic_Radius_Table!B:B))</f>
        <v>1.25</v>
      </c>
      <c r="P267" s="0" t="str">
        <f aca="false">TRIM(MID(C267,FIND(",",C267)+1,5))</f>
        <v>W</v>
      </c>
      <c r="Q267" s="0" t="n">
        <f aca="false">IF(P267="","",_xlfn.XLOOKUP(TRIM(P267),Metallic_Radius_Table!A:A,Metallic_Radius_Table!B:B))</f>
        <v>1.41</v>
      </c>
      <c r="R267" s="0" t="str">
        <f aca="false">IF(G267&gt;=1,   "Ferromagnetic / Ferrimagnetic",   IF(G267&gt;=0.05,      "Paramagnetic / Weakly magnetic",      "Antiferromagnetic / Diamagnetic"))</f>
        <v>Ferromagnetic / Ferrimagnetic</v>
      </c>
      <c r="U267" s="0" t="str">
        <f aca="false">IF(G267&gt;=1,
   "FM → PM (Curie-type)",
   IF(G267&lt;0.05,
      "AFM → PM (Néel-type)",
      "No long-range magnetic transition"))</f>
        <v>FM → PM (Curie-type)</v>
      </c>
    </row>
    <row r="268" customFormat="false" ht="14.25" hidden="false" customHeight="false" outlineLevel="0" collapsed="false">
      <c r="A268" s="0" t="s">
        <v>622</v>
      </c>
      <c r="B268" s="0" t="s">
        <v>623</v>
      </c>
      <c r="C268" s="0" t="s">
        <v>53</v>
      </c>
      <c r="D268" s="0" t="n">
        <v>-2.426766052225</v>
      </c>
      <c r="E268" s="0" t="n">
        <v>0.1456554655</v>
      </c>
      <c r="F268" s="0" t="n">
        <v>0</v>
      </c>
      <c r="G268" s="0" t="n">
        <v>4.0000006</v>
      </c>
      <c r="H268" s="0" t="s">
        <v>111</v>
      </c>
      <c r="I268" s="2" t="b">
        <f aca="false">TRUE()</f>
        <v>1</v>
      </c>
      <c r="J268" s="0" t="str">
        <f aca="false">IF(AND(CODE(MID(B268,2,1))&gt;=97,CODE(MID(B268,2,1))&lt;=122),LEFT(B268,2),LEFT(B268,1))</f>
        <v>K</v>
      </c>
      <c r="K268" s="0" t="n">
        <f aca="false">IF(J268="","",_xlfn.XLOOKUP(TRIM(J268),Metallic_Radius_Table!A:A,Metallic_Radius_Table!B:B))</f>
        <v>2.27</v>
      </c>
      <c r="L268" s="0" t="str">
        <f aca="false">IF(ISNUMBER(SEARCH("La",B268)),"La",
 IF(ISNUMBER(SEARCH("Nd",B268)),"Nd",
 IF(ISNUMBER(SEARCH("Eu",B268)),"Eu",
 IF(ISNUMBER(SEARCH("Gd",B268)),"Gd",""))))</f>
        <v>La</v>
      </c>
      <c r="M268" s="0" t="n">
        <f aca="false">IF(L268="","",_xlfn.XLOOKUP(TRIM(L268),Metallic_Radius_Table!A:A,Metallic_Radius_Table!B:B))</f>
        <v>1.87</v>
      </c>
      <c r="N268" s="0" t="str">
        <f aca="false">TRIM(LEFT(C268,FIND(",",C268)-1))</f>
        <v>Fe</v>
      </c>
      <c r="O268" s="3" t="n">
        <f aca="false">IF(N268="","",_xlfn.XLOOKUP(TRIM(N268),Metallic_Radius_Table!A:A,Metallic_Radius_Table!B:B))</f>
        <v>1.26</v>
      </c>
      <c r="P268" s="0" t="str">
        <f aca="false">TRIM(MID(C268,FIND(",",C268)+1,5))</f>
        <v>W</v>
      </c>
      <c r="Q268" s="0" t="n">
        <f aca="false">IF(P268="","",_xlfn.XLOOKUP(TRIM(P268),Metallic_Radius_Table!A:A,Metallic_Radius_Table!B:B))</f>
        <v>1.41</v>
      </c>
      <c r="R268" s="0" t="str">
        <f aca="false">IF(G268&gt;=1,   "Ferromagnetic / Ferrimagnetic",   IF(G268&gt;=0.05,      "Paramagnetic / Weakly magnetic",      "Antiferromagnetic / Diamagnetic"))</f>
        <v>Ferromagnetic / Ferrimagnetic</v>
      </c>
      <c r="U268" s="0" t="str">
        <f aca="false">IF(G268&gt;=1,
   "FM → PM (Curie-type)",
   IF(G268&lt;0.05,
      "AFM → PM (Néel-type)",
      "No long-range magnetic transition"))</f>
        <v>FM → PM (Curie-type)</v>
      </c>
    </row>
    <row r="269" customFormat="false" ht="14.25" hidden="false" customHeight="false" outlineLevel="0" collapsed="false">
      <c r="A269" s="0" t="s">
        <v>624</v>
      </c>
      <c r="B269" s="0" t="s">
        <v>625</v>
      </c>
      <c r="C269" s="0" t="s">
        <v>591</v>
      </c>
      <c r="D269" s="0" t="n">
        <v>-3.01300426522499</v>
      </c>
      <c r="E269" s="0" t="n">
        <v>0.174731604541692</v>
      </c>
      <c r="F269" s="0" t="n">
        <v>0</v>
      </c>
      <c r="G269" s="0" t="n">
        <v>2.0000005</v>
      </c>
      <c r="H269" s="0" t="s">
        <v>111</v>
      </c>
      <c r="I269" s="2" t="b">
        <f aca="false">TRUE()</f>
        <v>1</v>
      </c>
      <c r="J269" s="0" t="str">
        <f aca="false">IF(AND(CODE(MID(B269,2,1))&gt;=97,CODE(MID(B269,2,1))&lt;=122),LEFT(B269,2),LEFT(B269,1))</f>
        <v>K</v>
      </c>
      <c r="K269" s="0" t="n">
        <f aca="false">IF(J269="","",_xlfn.XLOOKUP(TRIM(J269),Metallic_Radius_Table!A:A,Metallic_Radius_Table!B:B))</f>
        <v>2.27</v>
      </c>
      <c r="L269" s="0" t="str">
        <f aca="false">IF(ISNUMBER(SEARCH("La",B269)),"La",
 IF(ISNUMBER(SEARCH("Nd",B269)),"Nd",
 IF(ISNUMBER(SEARCH("Eu",B269)),"Eu",
 IF(ISNUMBER(SEARCH("Gd",B269)),"Gd",""))))</f>
        <v>La</v>
      </c>
      <c r="M269" s="0" t="n">
        <f aca="false">IF(L269="","",_xlfn.XLOOKUP(TRIM(L269),Metallic_Radius_Table!A:A,Metallic_Radius_Table!B:B))</f>
        <v>1.87</v>
      </c>
      <c r="N269" s="0" t="str">
        <f aca="false">TRIM(LEFT(C269,FIND(",",C269)-1))</f>
        <v>Cr</v>
      </c>
      <c r="O269" s="3" t="n">
        <f aca="false">IF(N269="","",_xlfn.XLOOKUP(TRIM(N269),Metallic_Radius_Table!A:A,Metallic_Radius_Table!B:B))</f>
        <v>1.28</v>
      </c>
      <c r="P269" s="0" t="str">
        <f aca="false">TRIM(MID(C269,FIND(",",C269)+1,5))</f>
        <v>Hf</v>
      </c>
      <c r="Q269" s="0" t="n">
        <f aca="false">IF(P269="","",_xlfn.XLOOKUP(TRIM(P269),Metallic_Radius_Table!A:A,Metallic_Radius_Table!B:B))</f>
        <v>1.59</v>
      </c>
      <c r="R269" s="0" t="str">
        <f aca="false">IF(G269&gt;=1,   "Ferromagnetic / Ferrimagnetic",   IF(G269&gt;=0.05,      "Paramagnetic / Weakly magnetic",      "Antiferromagnetic / Diamagnetic"))</f>
        <v>Ferromagnetic / Ferrimagnetic</v>
      </c>
      <c r="U269" s="0" t="str">
        <f aca="false">IF(G269&gt;=1,
   "FM → PM (Curie-type)",
   IF(G269&lt;0.05,
      "AFM → PM (Néel-type)",
      "No long-range magnetic transition"))</f>
        <v>FM → PM (Curie-type)</v>
      </c>
    </row>
    <row r="270" customFormat="false" ht="14.25" hidden="false" customHeight="false" outlineLevel="0" collapsed="false">
      <c r="A270" s="0" t="s">
        <v>626</v>
      </c>
      <c r="B270" s="0" t="s">
        <v>627</v>
      </c>
      <c r="C270" s="0" t="s">
        <v>323</v>
      </c>
      <c r="D270" s="0" t="n">
        <v>-2.812907237225</v>
      </c>
      <c r="E270" s="0" t="n">
        <v>0.116860939520829</v>
      </c>
      <c r="F270" s="0" t="n">
        <v>0</v>
      </c>
      <c r="G270" s="0" t="n">
        <v>4.0000007</v>
      </c>
      <c r="H270" s="0" t="s">
        <v>111</v>
      </c>
      <c r="I270" s="2" t="b">
        <f aca="false">TRUE()</f>
        <v>1</v>
      </c>
      <c r="J270" s="0" t="str">
        <f aca="false">IF(AND(CODE(MID(B270,2,1))&gt;=97,CODE(MID(B270,2,1))&lt;=122),LEFT(B270,2),LEFT(B270,1))</f>
        <v>K</v>
      </c>
      <c r="K270" s="0" t="n">
        <f aca="false">IF(J270="","",_xlfn.XLOOKUP(TRIM(J270),Metallic_Radius_Table!A:A,Metallic_Radius_Table!B:B))</f>
        <v>2.27</v>
      </c>
      <c r="L270" s="0" t="str">
        <f aca="false">IF(ISNUMBER(SEARCH("La",B270)),"La",
 IF(ISNUMBER(SEARCH("Nd",B270)),"Nd",
 IF(ISNUMBER(SEARCH("Eu",B270)),"Eu",
 IF(ISNUMBER(SEARCH("Gd",B270)),"Gd",""))))</f>
        <v>La</v>
      </c>
      <c r="M270" s="0" t="n">
        <f aca="false">IF(L270="","",_xlfn.XLOOKUP(TRIM(L270),Metallic_Radius_Table!A:A,Metallic_Radius_Table!B:B))</f>
        <v>1.87</v>
      </c>
      <c r="N270" s="0" t="str">
        <f aca="false">TRIM(LEFT(C270,FIND(",",C270)-1))</f>
        <v>Fe</v>
      </c>
      <c r="O270" s="3" t="n">
        <f aca="false">IF(N270="","",_xlfn.XLOOKUP(TRIM(N270),Metallic_Radius_Table!A:A,Metallic_Radius_Table!B:B))</f>
        <v>1.26</v>
      </c>
      <c r="P270" s="0" t="str">
        <f aca="false">TRIM(MID(C270,FIND(",",C270)+1,5))</f>
        <v>Hf</v>
      </c>
      <c r="Q270" s="0" t="n">
        <f aca="false">IF(P270="","",_xlfn.XLOOKUP(TRIM(P270),Metallic_Radius_Table!A:A,Metallic_Radius_Table!B:B))</f>
        <v>1.59</v>
      </c>
      <c r="R270" s="0" t="str">
        <f aca="false">IF(G270&gt;=1,   "Ferromagnetic / Ferrimagnetic",   IF(G270&gt;=0.05,      "Paramagnetic / Weakly magnetic",      "Antiferromagnetic / Diamagnetic"))</f>
        <v>Ferromagnetic / Ferrimagnetic</v>
      </c>
      <c r="U270" s="0" t="str">
        <f aca="false">IF(G270&gt;=1,
   "FM → PM (Curie-type)",
   IF(G270&lt;0.05,
      "AFM → PM (Néel-type)",
      "No long-range magnetic transition"))</f>
        <v>FM → PM (Curie-type)</v>
      </c>
    </row>
    <row r="271" customFormat="false" ht="14.25" hidden="false" customHeight="false" outlineLevel="0" collapsed="false">
      <c r="A271" s="0" t="s">
        <v>628</v>
      </c>
      <c r="B271" s="0" t="s">
        <v>629</v>
      </c>
      <c r="C271" s="0" t="s">
        <v>114</v>
      </c>
      <c r="D271" s="0" t="n">
        <v>-3.311095605225</v>
      </c>
      <c r="E271" s="0" t="n">
        <v>0.104929074925014</v>
      </c>
      <c r="F271" s="0" t="n">
        <v>0</v>
      </c>
      <c r="G271" s="0" t="n">
        <v>0.0004458</v>
      </c>
      <c r="H271" s="0" t="s">
        <v>111</v>
      </c>
      <c r="I271" s="2" t="b">
        <f aca="false">TRUE()</f>
        <v>1</v>
      </c>
      <c r="J271" s="0" t="str">
        <f aca="false">IF(AND(CODE(MID(B271,2,1))&gt;=97,CODE(MID(B271,2,1))&lt;=122),LEFT(B271,2),LEFT(B271,1))</f>
        <v>K</v>
      </c>
      <c r="K271" s="0" t="n">
        <f aca="false">IF(J271="","",_xlfn.XLOOKUP(TRIM(J271),Metallic_Radius_Table!A:A,Metallic_Radius_Table!B:B))</f>
        <v>2.27</v>
      </c>
      <c r="L271" s="0" t="str">
        <f aca="false">IF(ISNUMBER(SEARCH("La",B271)),"La",
 IF(ISNUMBER(SEARCH("Nd",B271)),"Nd",
 IF(ISNUMBER(SEARCH("Eu",B271)),"Eu",
 IF(ISNUMBER(SEARCH("Gd",B271)),"Gd",""))))</f>
        <v>La</v>
      </c>
      <c r="M271" s="0" t="n">
        <f aca="false">IF(L271="","",_xlfn.XLOOKUP(TRIM(L271),Metallic_Radius_Table!A:A,Metallic_Radius_Table!B:B))</f>
        <v>1.87</v>
      </c>
      <c r="N271" s="0" t="str">
        <f aca="false">TRIM(LEFT(C271,FIND(",",C271)-1))</f>
        <v>Nb</v>
      </c>
      <c r="O271" s="3" t="n">
        <f aca="false">IF(N271="","",_xlfn.XLOOKUP(TRIM(N271),Metallic_Radius_Table!A:A,Metallic_Radius_Table!B:B))</f>
        <v>1.46</v>
      </c>
      <c r="P271" s="0" t="str">
        <f aca="false">TRIM(MID(C271,FIND(",",C271)+1,5))</f>
        <v>Hf</v>
      </c>
      <c r="Q271" s="0" t="n">
        <f aca="false">IF(P271="","",_xlfn.XLOOKUP(TRIM(P271),Metallic_Radius_Table!A:A,Metallic_Radius_Table!B:B))</f>
        <v>1.59</v>
      </c>
      <c r="R271" s="0" t="str">
        <f aca="false">IF(G271&gt;=1,   "Ferromagnetic / Ferrimagnetic",   IF(G271&gt;=0.05,      "Paramagnetic / Weakly magnetic",      "Antiferromagnetic / Diamagnetic"))</f>
        <v>Antiferromagnetic / Diamagnetic</v>
      </c>
      <c r="U271" s="0" t="str">
        <f aca="false">IF(G271&gt;=1,
   "FM → PM (Curie-type)",
   IF(G271&lt;0.05,
      "AFM → PM (Néel-type)",
      "No long-range magnetic transition"))</f>
        <v>AFM → PM (Néel-type)</v>
      </c>
    </row>
    <row r="272" customFormat="false" ht="14.25" hidden="false" customHeight="false" outlineLevel="0" collapsed="false">
      <c r="A272" s="0" t="s">
        <v>630</v>
      </c>
      <c r="B272" s="0" t="s">
        <v>631</v>
      </c>
      <c r="C272" s="0" t="s">
        <v>148</v>
      </c>
      <c r="D272" s="0" t="n">
        <v>-3.50395311455833</v>
      </c>
      <c r="E272" s="0" t="n">
        <v>0.095198121749999</v>
      </c>
      <c r="F272" s="0" t="n">
        <v>2.3179</v>
      </c>
      <c r="G272" s="0" t="n">
        <v>0</v>
      </c>
      <c r="H272" s="0" t="s">
        <v>111</v>
      </c>
      <c r="I272" s="2" t="b">
        <f aca="false">TRUE()</f>
        <v>1</v>
      </c>
      <c r="J272" s="0" t="str">
        <f aca="false">IF(AND(CODE(MID(B272,2,1))&gt;=97,CODE(MID(B272,2,1))&lt;=122),LEFT(B272,2),LEFT(B272,1))</f>
        <v>K</v>
      </c>
      <c r="K272" s="0" t="n">
        <f aca="false">IF(J272="","",_xlfn.XLOOKUP(TRIM(J272),Metallic_Radius_Table!A:A,Metallic_Radius_Table!B:B))</f>
        <v>2.27</v>
      </c>
      <c r="L272" s="0" t="str">
        <f aca="false">IF(ISNUMBER(SEARCH("La",B272)),"La",
 IF(ISNUMBER(SEARCH("Nd",B272)),"Nd",
 IF(ISNUMBER(SEARCH("Eu",B272)),"Eu",
 IF(ISNUMBER(SEARCH("Gd",B272)),"Gd",""))))</f>
        <v>La</v>
      </c>
      <c r="M272" s="0" t="n">
        <f aca="false">IF(L272="","",_xlfn.XLOOKUP(TRIM(L272),Metallic_Radius_Table!A:A,Metallic_Radius_Table!B:B))</f>
        <v>1.87</v>
      </c>
      <c r="N272" s="0" t="str">
        <f aca="false">TRIM(LEFT(C272,FIND(",",C272)-1))</f>
        <v>Hf</v>
      </c>
      <c r="O272" s="3" t="n">
        <f aca="false">IF(N272="","",_xlfn.XLOOKUP(TRIM(N272),Metallic_Radius_Table!A:A,Metallic_Radius_Table!B:B))</f>
        <v>1.59</v>
      </c>
      <c r="P272" s="0" t="str">
        <f aca="false">TRIM(MID(C272,FIND(",",C272)+1,5))</f>
        <v>Ti</v>
      </c>
      <c r="Q272" s="0" t="n">
        <f aca="false">IF(P272="","",_xlfn.XLOOKUP(TRIM(P272),Metallic_Radius_Table!A:A,Metallic_Radius_Table!B:B))</f>
        <v>1.47</v>
      </c>
      <c r="R272" s="0" t="str">
        <f aca="false">IF(G272&gt;=1,   "Ferromagnetic / Ferrimagnetic",   IF(G272&gt;=0.05,      "Paramagnetic / Weakly magnetic",      "Antiferromagnetic / Diamagnetic"))</f>
        <v>Antiferromagnetic / Diamagnetic</v>
      </c>
      <c r="U272" s="0" t="str">
        <f aca="false">IF(G272&gt;=1,
   "FM → PM (Curie-type)",
   IF(G272&lt;0.05,
      "AFM → PM (Néel-type)",
      "No long-range magnetic transition"))</f>
        <v>AFM → PM (Néel-type)</v>
      </c>
    </row>
    <row r="273" customFormat="false" ht="14.25" hidden="false" customHeight="false" outlineLevel="0" collapsed="false">
      <c r="A273" s="0" t="s">
        <v>632</v>
      </c>
      <c r="B273" s="0" t="s">
        <v>633</v>
      </c>
      <c r="C273" s="0" t="s">
        <v>79</v>
      </c>
      <c r="D273" s="0" t="n">
        <v>-2.6864618590181</v>
      </c>
      <c r="E273" s="0" t="n">
        <v>0</v>
      </c>
      <c r="F273" s="0" t="n">
        <v>2.4917</v>
      </c>
      <c r="G273" s="0" t="n">
        <v>9.9995313</v>
      </c>
      <c r="H273" s="0" t="s">
        <v>634</v>
      </c>
      <c r="I273" s="2" t="b">
        <f aca="false">TRUE()</f>
        <v>1</v>
      </c>
      <c r="J273" s="0" t="str">
        <f aca="false">IF(AND(CODE(MID(B273,2,1))&gt;=97,CODE(MID(B273,2,1))&lt;=122),LEFT(B273,2),LEFT(B273,1))</f>
        <v>K</v>
      </c>
      <c r="K273" s="0" t="n">
        <f aca="false">IF(J273="","",_xlfn.XLOOKUP(TRIM(J273),Metallic_Radius_Table!A:A,Metallic_Radius_Table!B:B))</f>
        <v>2.27</v>
      </c>
      <c r="L273" s="0" t="str">
        <f aca="false">IF(ISNUMBER(SEARCH("La",B273)),"La",
 IF(ISNUMBER(SEARCH("Nd",B273)),"Nd",
 IF(ISNUMBER(SEARCH("Eu",B273)),"Eu",
 IF(ISNUMBER(SEARCH("Gd",B273)),"Gd",""))))</f>
        <v>La</v>
      </c>
      <c r="M273" s="0" t="n">
        <f aca="false">IF(L273="","",_xlfn.XLOOKUP(TRIM(L273),Metallic_Radius_Table!A:A,Metallic_Radius_Table!B:B))</f>
        <v>1.87</v>
      </c>
      <c r="N273" s="0" t="str">
        <f aca="false">TRIM(LEFT(C273,FIND(",",C273)-1))</f>
        <v>Mn</v>
      </c>
      <c r="O273" s="3" t="n">
        <f aca="false">IF(N273="","",_xlfn.XLOOKUP(TRIM(N273),Metallic_Radius_Table!A:A,Metallic_Radius_Table!B:B))</f>
        <v>1.27</v>
      </c>
      <c r="P273" s="0" t="str">
        <f aca="false">TRIM(MID(C273,FIND(",",C273)+1,5))</f>
        <v>W</v>
      </c>
      <c r="Q273" s="0" t="n">
        <f aca="false">IF(P273="","",_xlfn.XLOOKUP(TRIM(P273),Metallic_Radius_Table!A:A,Metallic_Radius_Table!B:B))</f>
        <v>1.41</v>
      </c>
      <c r="R273" s="0" t="str">
        <f aca="false">IF(G273&gt;=1,   "Ferromagnetic / Ferrimagnetic",   IF(G273&gt;=0.05,      "Paramagnetic / Weakly magnetic",      "Antiferromagnetic / Diamagnetic"))</f>
        <v>Ferromagnetic / Ferrimagnetic</v>
      </c>
      <c r="U273" s="0" t="str">
        <f aca="false">IF(G273&gt;=1,
   "FM → PM (Curie-type)",
   IF(G273&lt;0.05,
      "AFM → PM (Néel-type)",
      "No long-range magnetic transition"))</f>
        <v>FM → PM (Curie-type)</v>
      </c>
    </row>
    <row r="274" customFormat="false" ht="14.25" hidden="false" customHeight="false" outlineLevel="0" collapsed="false">
      <c r="A274" s="0" t="s">
        <v>635</v>
      </c>
      <c r="B274" s="0" t="s">
        <v>633</v>
      </c>
      <c r="C274" s="0" t="s">
        <v>79</v>
      </c>
      <c r="D274" s="0" t="n">
        <v>-2.5745978470181</v>
      </c>
      <c r="E274" s="0" t="n">
        <v>0.111864011999999</v>
      </c>
      <c r="F274" s="0" t="n">
        <v>1.1266</v>
      </c>
      <c r="G274" s="0" t="n">
        <v>4.9999998</v>
      </c>
      <c r="H274" s="0" t="s">
        <v>111</v>
      </c>
      <c r="I274" s="2" t="b">
        <f aca="false">TRUE()</f>
        <v>1</v>
      </c>
      <c r="J274" s="0" t="str">
        <f aca="false">IF(AND(CODE(MID(B274,2,1))&gt;=97,CODE(MID(B274,2,1))&lt;=122),LEFT(B274,2),LEFT(B274,1))</f>
        <v>K</v>
      </c>
      <c r="K274" s="0" t="n">
        <f aca="false">IF(J274="","",_xlfn.XLOOKUP(TRIM(J274),Metallic_Radius_Table!A:A,Metallic_Radius_Table!B:B))</f>
        <v>2.27</v>
      </c>
      <c r="L274" s="0" t="str">
        <f aca="false">IF(ISNUMBER(SEARCH("La",B274)),"La",
 IF(ISNUMBER(SEARCH("Nd",B274)),"Nd",
 IF(ISNUMBER(SEARCH("Eu",B274)),"Eu",
 IF(ISNUMBER(SEARCH("Gd",B274)),"Gd",""))))</f>
        <v>La</v>
      </c>
      <c r="M274" s="0" t="n">
        <f aca="false">IF(L274="","",_xlfn.XLOOKUP(TRIM(L274),Metallic_Radius_Table!A:A,Metallic_Radius_Table!B:B))</f>
        <v>1.87</v>
      </c>
      <c r="N274" s="0" t="str">
        <f aca="false">TRIM(LEFT(C274,FIND(",",C274)-1))</f>
        <v>Mn</v>
      </c>
      <c r="O274" s="3" t="n">
        <f aca="false">IF(N274="","",_xlfn.XLOOKUP(TRIM(N274),Metallic_Radius_Table!A:A,Metallic_Radius_Table!B:B))</f>
        <v>1.27</v>
      </c>
      <c r="P274" s="0" t="str">
        <f aca="false">TRIM(MID(C274,FIND(",",C274)+1,5))</f>
        <v>W</v>
      </c>
      <c r="Q274" s="0" t="n">
        <f aca="false">IF(P274="","",_xlfn.XLOOKUP(TRIM(P274),Metallic_Radius_Table!A:A,Metallic_Radius_Table!B:B))</f>
        <v>1.41</v>
      </c>
      <c r="R274" s="0" t="str">
        <f aca="false">IF(G274&gt;=1,   "Ferromagnetic / Ferrimagnetic",   IF(G274&gt;=0.05,      "Paramagnetic / Weakly magnetic",      "Antiferromagnetic / Diamagnetic"))</f>
        <v>Ferromagnetic / Ferrimagnetic</v>
      </c>
      <c r="U274" s="0" t="str">
        <f aca="false">IF(G274&gt;=1,
   "FM → PM (Curie-type)",
   IF(G274&lt;0.05,
      "AFM → PM (Néel-type)",
      "No long-range magnetic transition"))</f>
        <v>FM → PM (Curie-type)</v>
      </c>
    </row>
    <row r="275" customFormat="false" ht="14.25" hidden="false" customHeight="false" outlineLevel="0" collapsed="false">
      <c r="A275" s="0" t="s">
        <v>636</v>
      </c>
      <c r="B275" s="0" t="s">
        <v>637</v>
      </c>
      <c r="C275" s="0" t="s">
        <v>85</v>
      </c>
      <c r="D275" s="0" t="n">
        <v>-2.93873861622499</v>
      </c>
      <c r="E275" s="0" t="n">
        <v>0.085636896250004</v>
      </c>
      <c r="F275" s="0" t="n">
        <v>2.0549</v>
      </c>
      <c r="G275" s="0" t="n">
        <v>3.0000005</v>
      </c>
      <c r="H275" s="0" t="s">
        <v>111</v>
      </c>
      <c r="I275" s="2" t="b">
        <f aca="false">TRUE()</f>
        <v>1</v>
      </c>
      <c r="J275" s="0" t="str">
        <f aca="false">IF(AND(CODE(MID(B275,2,1))&gt;=97,CODE(MID(B275,2,1))&lt;=122),LEFT(B275,2),LEFT(B275,1))</f>
        <v>K</v>
      </c>
      <c r="K275" s="0" t="n">
        <f aca="false">IF(J275="","",_xlfn.XLOOKUP(TRIM(J275),Metallic_Radius_Table!A:A,Metallic_Radius_Table!B:B))</f>
        <v>2.27</v>
      </c>
      <c r="L275" s="0" t="str">
        <f aca="false">IF(ISNUMBER(SEARCH("La",B275)),"La",
 IF(ISNUMBER(SEARCH("Nd",B275)),"Nd",
 IF(ISNUMBER(SEARCH("Eu",B275)),"Eu",
 IF(ISNUMBER(SEARCH("Gd",B275)),"Gd",""))))</f>
        <v>La</v>
      </c>
      <c r="M275" s="0" t="n">
        <f aca="false">IF(L275="","",_xlfn.XLOOKUP(TRIM(L275),Metallic_Radius_Table!A:A,Metallic_Radius_Table!B:B))</f>
        <v>1.87</v>
      </c>
      <c r="N275" s="0" t="str">
        <f aca="false">TRIM(LEFT(C275,FIND(",",C275)-1))</f>
        <v>Cr</v>
      </c>
      <c r="O275" s="3" t="n">
        <f aca="false">IF(N275="","",_xlfn.XLOOKUP(TRIM(N275),Metallic_Radius_Table!A:A,Metallic_Radius_Table!B:B))</f>
        <v>1.28</v>
      </c>
      <c r="P275" s="0" t="str">
        <f aca="false">TRIM(MID(C275,FIND(",",C275)+1,5))</f>
        <v>Nb</v>
      </c>
      <c r="Q275" s="0" t="n">
        <f aca="false">IF(P275="","",_xlfn.XLOOKUP(TRIM(P275),Metallic_Radius_Table!A:A,Metallic_Radius_Table!B:B))</f>
        <v>1.46</v>
      </c>
      <c r="R275" s="0" t="str">
        <f aca="false">IF(G275&gt;=1,   "Ferromagnetic / Ferrimagnetic",   IF(G275&gt;=0.05,      "Paramagnetic / Weakly magnetic",      "Antiferromagnetic / Diamagnetic"))</f>
        <v>Ferromagnetic / Ferrimagnetic</v>
      </c>
      <c r="U275" s="0" t="str">
        <f aca="false">IF(G275&gt;=1,
   "FM → PM (Curie-type)",
   IF(G275&lt;0.05,
      "AFM → PM (Néel-type)",
      "No long-range magnetic transition"))</f>
        <v>FM → PM (Curie-type)</v>
      </c>
    </row>
    <row r="276" customFormat="false" ht="14.25" hidden="false" customHeight="false" outlineLevel="0" collapsed="false">
      <c r="A276" s="0" t="s">
        <v>638</v>
      </c>
      <c r="B276" s="0" t="s">
        <v>639</v>
      </c>
      <c r="C276" s="0" t="s">
        <v>89</v>
      </c>
      <c r="D276" s="0" t="n">
        <v>-2.765143900225</v>
      </c>
      <c r="E276" s="0" t="n">
        <v>0.087382842000003</v>
      </c>
      <c r="F276" s="0" t="n">
        <v>1.71179999999999</v>
      </c>
      <c r="G276" s="0" t="n">
        <v>5.0000007</v>
      </c>
      <c r="H276" s="0" t="s">
        <v>111</v>
      </c>
      <c r="I276" s="2" t="b">
        <f aca="false">TRUE()</f>
        <v>1</v>
      </c>
      <c r="J276" s="0" t="str">
        <f aca="false">IF(AND(CODE(MID(B276,2,1))&gt;=97,CODE(MID(B276,2,1))&lt;=122),LEFT(B276,2),LEFT(B276,1))</f>
        <v>K</v>
      </c>
      <c r="K276" s="0" t="n">
        <f aca="false">IF(J276="","",_xlfn.XLOOKUP(TRIM(J276),Metallic_Radius_Table!A:A,Metallic_Radius_Table!B:B))</f>
        <v>2.27</v>
      </c>
      <c r="L276" s="0" t="str">
        <f aca="false">IF(ISNUMBER(SEARCH("La",B276)),"La",
 IF(ISNUMBER(SEARCH("Nd",B276)),"Nd",
 IF(ISNUMBER(SEARCH("Eu",B276)),"Eu",
 IF(ISNUMBER(SEARCH("Gd",B276)),"Gd",""))))</f>
        <v>La</v>
      </c>
      <c r="M276" s="0" t="n">
        <f aca="false">IF(L276="","",_xlfn.XLOOKUP(TRIM(L276),Metallic_Radius_Table!A:A,Metallic_Radius_Table!B:B))</f>
        <v>1.87</v>
      </c>
      <c r="N276" s="0" t="str">
        <f aca="false">TRIM(LEFT(C276,FIND(",",C276)-1))</f>
        <v>Fe</v>
      </c>
      <c r="O276" s="3" t="n">
        <f aca="false">IF(N276="","",_xlfn.XLOOKUP(TRIM(N276),Metallic_Radius_Table!A:A,Metallic_Radius_Table!B:B))</f>
        <v>1.26</v>
      </c>
      <c r="P276" s="0" t="str">
        <f aca="false">TRIM(MID(C276,FIND(",",C276)+1,5))</f>
        <v>Nb</v>
      </c>
      <c r="Q276" s="0" t="n">
        <f aca="false">IF(P276="","",_xlfn.XLOOKUP(TRIM(P276),Metallic_Radius_Table!A:A,Metallic_Radius_Table!B:B))</f>
        <v>1.46</v>
      </c>
      <c r="R276" s="0" t="str">
        <f aca="false">IF(G276&gt;=1,   "Ferromagnetic / Ferrimagnetic",   IF(G276&gt;=0.05,      "Paramagnetic / Weakly magnetic",      "Antiferromagnetic / Diamagnetic"))</f>
        <v>Ferromagnetic / Ferrimagnetic</v>
      </c>
      <c r="U276" s="0" t="str">
        <f aca="false">IF(G276&gt;=1,
   "FM → PM (Curie-type)",
   IF(G276&lt;0.05,
      "AFM → PM (Néel-type)",
      "No long-range magnetic transition"))</f>
        <v>FM → PM (Curie-type)</v>
      </c>
    </row>
    <row r="277" customFormat="false" ht="14.25" hidden="false" customHeight="false" outlineLevel="0" collapsed="false">
      <c r="A277" s="0" t="s">
        <v>640</v>
      </c>
      <c r="B277" s="0" t="s">
        <v>641</v>
      </c>
      <c r="C277" s="0" t="s">
        <v>642</v>
      </c>
      <c r="D277" s="0" t="n">
        <v>-2.52554519322499</v>
      </c>
      <c r="E277" s="0" t="n">
        <v>0.146452209416653</v>
      </c>
      <c r="F277" s="0" t="n">
        <v>0</v>
      </c>
      <c r="G277" s="0" t="n">
        <v>1.0000006</v>
      </c>
      <c r="H277" s="0" t="s">
        <v>111</v>
      </c>
      <c r="I277" s="2" t="b">
        <f aca="false">TRUE()</f>
        <v>1</v>
      </c>
      <c r="J277" s="0" t="str">
        <f aca="false">IF(AND(CODE(MID(B277,2,1))&gt;=97,CODE(MID(B277,2,1))&lt;=122),LEFT(B277,2),LEFT(B277,1))</f>
        <v>K</v>
      </c>
      <c r="K277" s="0" t="n">
        <f aca="false">IF(J277="","",_xlfn.XLOOKUP(TRIM(J277),Metallic_Radius_Table!A:A,Metallic_Radius_Table!B:B))</f>
        <v>2.27</v>
      </c>
      <c r="L277" s="0" t="str">
        <f aca="false">IF(ISNUMBER(SEARCH("La",B277)),"La",
 IF(ISNUMBER(SEARCH("Nd",B277)),"Nd",
 IF(ISNUMBER(SEARCH("Eu",B277)),"Eu",
 IF(ISNUMBER(SEARCH("Gd",B277)),"Gd",""))))</f>
        <v>La</v>
      </c>
      <c r="M277" s="0" t="n">
        <f aca="false">IF(L277="","",_xlfn.XLOOKUP(TRIM(L277),Metallic_Radius_Table!A:A,Metallic_Radius_Table!B:B))</f>
        <v>1.87</v>
      </c>
      <c r="N277" s="0" t="str">
        <f aca="false">TRIM(LEFT(C277,FIND(",",C277)-1))</f>
        <v>Nb</v>
      </c>
      <c r="O277" s="3" t="n">
        <f aca="false">IF(N277="","",_xlfn.XLOOKUP(TRIM(N277),Metallic_Radius_Table!A:A,Metallic_Radius_Table!B:B))</f>
        <v>1.46</v>
      </c>
      <c r="P277" s="0" t="str">
        <f aca="false">TRIM(MID(C277,FIND(",",C277)+1,5))</f>
        <v>Ni</v>
      </c>
      <c r="Q277" s="0" t="n">
        <f aca="false">IF(P277="","",_xlfn.XLOOKUP(TRIM(P277),Metallic_Radius_Table!A:A,Metallic_Radius_Table!B:B))</f>
        <v>1.24</v>
      </c>
      <c r="R277" s="0" t="str">
        <f aca="false">IF(G277&gt;=1,   "Ferromagnetic / Ferrimagnetic",   IF(G277&gt;=0.05,      "Paramagnetic / Weakly magnetic",      "Antiferromagnetic / Diamagnetic"))</f>
        <v>Ferromagnetic / Ferrimagnetic</v>
      </c>
      <c r="U277" s="0" t="str">
        <f aca="false">IF(G277&gt;=1,
   "FM → PM (Curie-type)",
   IF(G277&lt;0.05,
      "AFM → PM (Néel-type)",
      "No long-range magnetic transition"))</f>
        <v>FM → PM (Curie-type)</v>
      </c>
    </row>
    <row r="278" customFormat="false" ht="14.25" hidden="false" customHeight="false" outlineLevel="0" collapsed="false">
      <c r="A278" s="0" t="s">
        <v>643</v>
      </c>
      <c r="B278" s="0" t="s">
        <v>644</v>
      </c>
      <c r="C278" s="0" t="s">
        <v>125</v>
      </c>
      <c r="D278" s="0" t="n">
        <v>-2.729330924225</v>
      </c>
      <c r="E278" s="0" t="n">
        <v>0.195309600749997</v>
      </c>
      <c r="F278" s="0" t="n">
        <v>0.4343</v>
      </c>
      <c r="G278" s="0" t="n">
        <v>3</v>
      </c>
      <c r="H278" s="0" t="s">
        <v>111</v>
      </c>
      <c r="I278" s="2" t="b">
        <f aca="false">TRUE()</f>
        <v>1</v>
      </c>
      <c r="J278" s="0" t="str">
        <f aca="false">IF(AND(CODE(MID(B278,2,1))&gt;=97,CODE(MID(B278,2,1))&lt;=122),LEFT(B278,2),LEFT(B278,1))</f>
        <v>K</v>
      </c>
      <c r="K278" s="0" t="n">
        <f aca="false">IF(J278="","",_xlfn.XLOOKUP(TRIM(J278),Metallic_Radius_Table!A:A,Metallic_Radius_Table!B:B))</f>
        <v>2.27</v>
      </c>
      <c r="L278" s="0" t="str">
        <f aca="false">IF(ISNUMBER(SEARCH("La",B278)),"La",
 IF(ISNUMBER(SEARCH("Nd",B278)),"Nd",
 IF(ISNUMBER(SEARCH("Eu",B278)),"Eu",
 IF(ISNUMBER(SEARCH("Gd",B278)),"Gd",""))))</f>
        <v>La</v>
      </c>
      <c r="M278" s="0" t="n">
        <f aca="false">IF(L278="","",_xlfn.XLOOKUP(TRIM(L278),Metallic_Radius_Table!A:A,Metallic_Radius_Table!B:B))</f>
        <v>1.87</v>
      </c>
      <c r="N278" s="0" t="str">
        <f aca="false">TRIM(LEFT(C278,FIND(",",C278)-1))</f>
        <v>Nb</v>
      </c>
      <c r="O278" s="3" t="n">
        <f aca="false">IF(N278="","",_xlfn.XLOOKUP(TRIM(N278),Metallic_Radius_Table!A:A,Metallic_Radius_Table!B:B))</f>
        <v>1.46</v>
      </c>
      <c r="P278" s="0" t="str">
        <f aca="false">TRIM(MID(C278,FIND(",",C278)+1,5))</f>
        <v>W</v>
      </c>
      <c r="Q278" s="0" t="n">
        <f aca="false">IF(P278="","",_xlfn.XLOOKUP(TRIM(P278),Metallic_Radius_Table!A:A,Metallic_Radius_Table!B:B))</f>
        <v>1.41</v>
      </c>
      <c r="R278" s="0" t="str">
        <f aca="false">IF(G278&gt;=1,   "Ferromagnetic / Ferrimagnetic",   IF(G278&gt;=0.05,      "Paramagnetic / Weakly magnetic",      "Antiferromagnetic / Diamagnetic"))</f>
        <v>Ferromagnetic / Ferrimagnetic</v>
      </c>
      <c r="U278" s="0" t="str">
        <f aca="false">IF(G278&gt;=1,
   "FM → PM (Curie-type)",
   IF(G278&lt;0.05,
      "AFM → PM (Néel-type)",
      "No long-range magnetic transition"))</f>
        <v>FM → PM (Curie-type)</v>
      </c>
    </row>
    <row r="279" customFormat="false" ht="14.25" hidden="false" customHeight="false" outlineLevel="0" collapsed="false">
      <c r="A279" s="0" t="s">
        <v>645</v>
      </c>
      <c r="B279" s="0" t="s">
        <v>646</v>
      </c>
      <c r="C279" s="0" t="s">
        <v>108</v>
      </c>
      <c r="D279" s="0" t="n">
        <v>-2.409012613225</v>
      </c>
      <c r="E279" s="0" t="n">
        <v>0.110722086999995</v>
      </c>
      <c r="F279" s="0" t="n">
        <v>2.8449</v>
      </c>
      <c r="G279" s="0" t="n">
        <v>2.0000009</v>
      </c>
      <c r="H279" s="0" t="s">
        <v>111</v>
      </c>
      <c r="I279" s="2" t="b">
        <f aca="false">TRUE()</f>
        <v>1</v>
      </c>
      <c r="J279" s="0" t="str">
        <f aca="false">IF(AND(CODE(MID(B279,2,1))&gt;=97,CODE(MID(B279,2,1))&lt;=122),LEFT(B279,2),LEFT(B279,1))</f>
        <v>K</v>
      </c>
      <c r="K279" s="0" t="n">
        <f aca="false">IF(J279="","",_xlfn.XLOOKUP(TRIM(J279),Metallic_Radius_Table!A:A,Metallic_Radius_Table!B:B))</f>
        <v>2.27</v>
      </c>
      <c r="L279" s="0" t="str">
        <f aca="false">IF(ISNUMBER(SEARCH("La",B279)),"La",
 IF(ISNUMBER(SEARCH("Nd",B279)),"Nd",
 IF(ISNUMBER(SEARCH("Eu",B279)),"Eu",
 IF(ISNUMBER(SEARCH("Gd",B279)),"Gd",""))))</f>
        <v>La</v>
      </c>
      <c r="M279" s="0" t="n">
        <f aca="false">IF(L279="","",_xlfn.XLOOKUP(TRIM(L279),Metallic_Radius_Table!A:A,Metallic_Radius_Table!B:B))</f>
        <v>1.87</v>
      </c>
      <c r="N279" s="0" t="str">
        <f aca="false">TRIM(LEFT(C279,FIND(",",C279)-1))</f>
        <v>Ni</v>
      </c>
      <c r="O279" s="3" t="n">
        <f aca="false">IF(N279="","",_xlfn.XLOOKUP(TRIM(N279),Metallic_Radius_Table!A:A,Metallic_Radius_Table!B:B))</f>
        <v>1.24</v>
      </c>
      <c r="P279" s="0" t="str">
        <f aca="false">TRIM(MID(C279,FIND(",",C279)+1,5))</f>
        <v>W</v>
      </c>
      <c r="Q279" s="0" t="n">
        <f aca="false">IF(P279="","",_xlfn.XLOOKUP(TRIM(P279),Metallic_Radius_Table!A:A,Metallic_Radius_Table!B:B))</f>
        <v>1.41</v>
      </c>
      <c r="R279" s="0" t="str">
        <f aca="false">IF(G279&gt;=1,   "Ferromagnetic / Ferrimagnetic",   IF(G279&gt;=0.05,      "Paramagnetic / Weakly magnetic",      "Antiferromagnetic / Diamagnetic"))</f>
        <v>Ferromagnetic / Ferrimagnetic</v>
      </c>
      <c r="U279" s="0" t="str">
        <f aca="false">IF(G279&gt;=1,
   "FM → PM (Curie-type)",
   IF(G279&lt;0.05,
      "AFM → PM (Néel-type)",
      "No long-range magnetic transition"))</f>
        <v>FM → PM (Curie-type)</v>
      </c>
    </row>
    <row r="280" customFormat="false" ht="14.25" hidden="false" customHeight="false" outlineLevel="0" collapsed="false">
      <c r="A280" s="0" t="s">
        <v>647</v>
      </c>
      <c r="B280" s="0" t="s">
        <v>648</v>
      </c>
      <c r="C280" s="0" t="s">
        <v>185</v>
      </c>
      <c r="D280" s="0" t="n">
        <v>-3.23912747155833</v>
      </c>
      <c r="E280" s="0" t="n">
        <v>0.045681297916663</v>
      </c>
      <c r="F280" s="0" t="n">
        <v>0</v>
      </c>
      <c r="G280" s="4" t="n">
        <v>4.2E-005</v>
      </c>
      <c r="H280" s="0" t="s">
        <v>111</v>
      </c>
      <c r="I280" s="2" t="b">
        <f aca="false">TRUE()</f>
        <v>1</v>
      </c>
      <c r="J280" s="0" t="str">
        <f aca="false">IF(AND(CODE(MID(B280,2,1))&gt;=97,CODE(MID(B280,2,1))&lt;=122),LEFT(B280,2),LEFT(B280,1))</f>
        <v>K</v>
      </c>
      <c r="K280" s="0" t="n">
        <f aca="false">IF(J280="","",_xlfn.XLOOKUP(TRIM(J280),Metallic_Radius_Table!A:A,Metallic_Radius_Table!B:B))</f>
        <v>2.27</v>
      </c>
      <c r="L280" s="0" t="str">
        <f aca="false">IF(ISNUMBER(SEARCH("La",B280)),"La",
 IF(ISNUMBER(SEARCH("Nd",B280)),"Nd",
 IF(ISNUMBER(SEARCH("Eu",B280)),"Eu",
 IF(ISNUMBER(SEARCH("Gd",B280)),"Gd",""))))</f>
        <v>La</v>
      </c>
      <c r="M280" s="0" t="n">
        <f aca="false">IF(L280="","",_xlfn.XLOOKUP(TRIM(L280),Metallic_Radius_Table!A:A,Metallic_Radius_Table!B:B))</f>
        <v>1.87</v>
      </c>
      <c r="N280" s="0" t="str">
        <f aca="false">TRIM(LEFT(C280,FIND(",",C280)-1))</f>
        <v>Nb</v>
      </c>
      <c r="O280" s="3" t="n">
        <f aca="false">IF(N280="","",_xlfn.XLOOKUP(TRIM(N280),Metallic_Radius_Table!A:A,Metallic_Radius_Table!B:B))</f>
        <v>1.46</v>
      </c>
      <c r="P280" s="0" t="str">
        <f aca="false">TRIM(MID(C280,FIND(",",C280)+1,5))</f>
        <v>Ti</v>
      </c>
      <c r="Q280" s="0" t="n">
        <f aca="false">IF(P280="","",_xlfn.XLOOKUP(TRIM(P280),Metallic_Radius_Table!A:A,Metallic_Radius_Table!B:B))</f>
        <v>1.47</v>
      </c>
      <c r="R280" s="0" t="str">
        <f aca="false">IF(G280&gt;=1,   "Ferromagnetic / Ferrimagnetic",   IF(G280&gt;=0.05,      "Paramagnetic / Weakly magnetic",      "Antiferromagnetic / Diamagnetic"))</f>
        <v>Antiferromagnetic / Diamagnetic</v>
      </c>
      <c r="U280" s="0" t="str">
        <f aca="false">IF(G280&gt;=1,
   "FM → PM (Curie-type)",
   IF(G280&lt;0.05,
      "AFM → PM (Néel-type)",
      "No long-range magnetic transition"))</f>
        <v>AFM → PM (Néel-type)</v>
      </c>
    </row>
    <row r="281" customFormat="false" ht="14.25" hidden="false" customHeight="false" outlineLevel="0" collapsed="false">
      <c r="A281" s="0" t="s">
        <v>649</v>
      </c>
      <c r="B281" s="0" t="s">
        <v>650</v>
      </c>
      <c r="C281" s="0" t="s">
        <v>211</v>
      </c>
      <c r="D281" s="0" t="n">
        <v>-2.643391949225</v>
      </c>
      <c r="E281" s="0" t="n">
        <v>0.106236448125002</v>
      </c>
      <c r="F281" s="0" t="n">
        <v>0.5106</v>
      </c>
      <c r="G281" s="0" t="n">
        <v>2.9999995</v>
      </c>
      <c r="H281" s="0" t="s">
        <v>111</v>
      </c>
      <c r="I281" s="2" t="b">
        <f aca="false">TRUE()</f>
        <v>1</v>
      </c>
      <c r="J281" s="0" t="str">
        <f aca="false">IF(AND(CODE(MID(B281,2,1))&gt;=97,CODE(MID(B281,2,1))&lt;=122),LEFT(B281,2),LEFT(B281,1))</f>
        <v>K</v>
      </c>
      <c r="K281" s="0" t="n">
        <f aca="false">IF(J281="","",_xlfn.XLOOKUP(TRIM(J281),Metallic_Radius_Table!A:A,Metallic_Radius_Table!B:B))</f>
        <v>2.27</v>
      </c>
      <c r="L281" s="0" t="str">
        <f aca="false">IF(ISNUMBER(SEARCH("La",B281)),"La",
 IF(ISNUMBER(SEARCH("Nd",B281)),"Nd",
 IF(ISNUMBER(SEARCH("Eu",B281)),"Eu",
 IF(ISNUMBER(SEARCH("Gd",B281)),"Gd",""))))</f>
        <v>La</v>
      </c>
      <c r="M281" s="0" t="n">
        <f aca="false">IF(L281="","",_xlfn.XLOOKUP(TRIM(L281),Metallic_Radius_Table!A:A,Metallic_Radius_Table!B:B))</f>
        <v>1.87</v>
      </c>
      <c r="N281" s="0" t="str">
        <f aca="false">TRIM(LEFT(C281,FIND(",",C281)-1))</f>
        <v>V</v>
      </c>
      <c r="O281" s="3" t="n">
        <f aca="false">IF(N281="","",_xlfn.XLOOKUP(TRIM(N281),Metallic_Radius_Table!A:A,Metallic_Radius_Table!B:B))</f>
        <v>1.34</v>
      </c>
      <c r="P281" s="0" t="str">
        <f aca="false">TRIM(MID(C281,FIND(",",C281)+1,5))</f>
        <v>W</v>
      </c>
      <c r="Q281" s="0" t="n">
        <f aca="false">IF(P281="","",_xlfn.XLOOKUP(TRIM(P281),Metallic_Radius_Table!A:A,Metallic_Radius_Table!B:B))</f>
        <v>1.41</v>
      </c>
      <c r="R281" s="0" t="str">
        <f aca="false">IF(G281&gt;=1,   "Ferromagnetic / Ferrimagnetic",   IF(G281&gt;=0.05,      "Paramagnetic / Weakly magnetic",      "Antiferromagnetic / Diamagnetic"))</f>
        <v>Ferromagnetic / Ferrimagnetic</v>
      </c>
      <c r="U281" s="0" t="str">
        <f aca="false">IF(G281&gt;=1,
   "FM → PM (Curie-type)",
   IF(G281&lt;0.05,
      "AFM → PM (Néel-type)",
      "No long-range magnetic transition"))</f>
        <v>FM → PM (Curie-type)</v>
      </c>
    </row>
    <row r="282" customFormat="false" ht="14.25" hidden="false" customHeight="false" outlineLevel="0" collapsed="false">
      <c r="A282" s="0" t="s">
        <v>651</v>
      </c>
      <c r="B282" s="0" t="s">
        <v>652</v>
      </c>
      <c r="C282" s="0" t="s">
        <v>330</v>
      </c>
      <c r="D282" s="0" t="n">
        <v>-2.930011246225</v>
      </c>
      <c r="E282" s="0" t="n">
        <v>0.18971068545834</v>
      </c>
      <c r="F282" s="0" t="n">
        <v>0</v>
      </c>
      <c r="G282" s="0" t="n">
        <v>2.0000004</v>
      </c>
      <c r="H282" s="0" t="s">
        <v>111</v>
      </c>
      <c r="I282" s="2" t="b">
        <f aca="false">TRUE()</f>
        <v>1</v>
      </c>
      <c r="J282" s="0" t="str">
        <f aca="false">IF(AND(CODE(MID(B282,2,1))&gt;=97,CODE(MID(B282,2,1))&lt;=122),LEFT(B282,2),LEFT(B282,1))</f>
        <v>K</v>
      </c>
      <c r="K282" s="0" t="n">
        <f aca="false">IF(J282="","",_xlfn.XLOOKUP(TRIM(J282),Metallic_Radius_Table!A:A,Metallic_Radius_Table!B:B))</f>
        <v>2.27</v>
      </c>
      <c r="L282" s="0" t="str">
        <f aca="false">IF(ISNUMBER(SEARCH("La",B282)),"La",
 IF(ISNUMBER(SEARCH("Nd",B282)),"Nd",
 IF(ISNUMBER(SEARCH("Eu",B282)),"Eu",
 IF(ISNUMBER(SEARCH("Gd",B282)),"Gd",""))))</f>
        <v>La</v>
      </c>
      <c r="M282" s="0" t="n">
        <f aca="false">IF(L282="","",_xlfn.XLOOKUP(TRIM(L282),Metallic_Radius_Table!A:A,Metallic_Radius_Table!B:B))</f>
        <v>1.87</v>
      </c>
      <c r="N282" s="0" t="str">
        <f aca="false">TRIM(LEFT(C282,FIND(",",C282)-1))</f>
        <v>Cr</v>
      </c>
      <c r="O282" s="3" t="n">
        <f aca="false">IF(N282="","",_xlfn.XLOOKUP(TRIM(N282),Metallic_Radius_Table!A:A,Metallic_Radius_Table!B:B))</f>
        <v>1.28</v>
      </c>
      <c r="P282" s="0" t="str">
        <f aca="false">TRIM(MID(C282,FIND(",",C282)+1,5))</f>
        <v>Zr</v>
      </c>
      <c r="Q282" s="0" t="n">
        <f aca="false">IF(P282="","",_xlfn.XLOOKUP(TRIM(P282),Metallic_Radius_Table!A:A,Metallic_Radius_Table!B:B))</f>
        <v>1.6</v>
      </c>
      <c r="R282" s="0" t="str">
        <f aca="false">IF(G282&gt;=1,   "Ferromagnetic / Ferrimagnetic",   IF(G282&gt;=0.05,      "Paramagnetic / Weakly magnetic",      "Antiferromagnetic / Diamagnetic"))</f>
        <v>Ferromagnetic / Ferrimagnetic</v>
      </c>
      <c r="U282" s="0" t="str">
        <f aca="false">IF(G282&gt;=1,
   "FM → PM (Curie-type)",
   IF(G282&lt;0.05,
      "AFM → PM (Néel-type)",
      "No long-range magnetic transition"))</f>
        <v>FM → PM (Curie-type)</v>
      </c>
    </row>
    <row r="283" customFormat="false" ht="14.25" hidden="false" customHeight="false" outlineLevel="0" collapsed="false">
      <c r="A283" s="0" t="s">
        <v>653</v>
      </c>
      <c r="B283" s="0" t="s">
        <v>654</v>
      </c>
      <c r="C283" s="0" t="s">
        <v>479</v>
      </c>
      <c r="D283" s="0" t="n">
        <v>-2.731194154225</v>
      </c>
      <c r="E283" s="0" t="n">
        <v>0.128716203083328</v>
      </c>
      <c r="F283" s="0" t="n">
        <v>0</v>
      </c>
      <c r="G283" s="0" t="n">
        <v>4.0000004</v>
      </c>
      <c r="H283" s="0" t="s">
        <v>111</v>
      </c>
      <c r="I283" s="2" t="b">
        <f aca="false">TRUE()</f>
        <v>1</v>
      </c>
      <c r="J283" s="0" t="str">
        <f aca="false">IF(AND(CODE(MID(B283,2,1))&gt;=97,CODE(MID(B283,2,1))&lt;=122),LEFT(B283,2),LEFT(B283,1))</f>
        <v>K</v>
      </c>
      <c r="K283" s="0" t="n">
        <f aca="false">IF(J283="","",_xlfn.XLOOKUP(TRIM(J283),Metallic_Radius_Table!A:A,Metallic_Radius_Table!B:B))</f>
        <v>2.27</v>
      </c>
      <c r="L283" s="0" t="str">
        <f aca="false">IF(ISNUMBER(SEARCH("La",B283)),"La",
 IF(ISNUMBER(SEARCH("Nd",B283)),"Nd",
 IF(ISNUMBER(SEARCH("Eu",B283)),"Eu",
 IF(ISNUMBER(SEARCH("Gd",B283)),"Gd",""))))</f>
        <v>La</v>
      </c>
      <c r="M283" s="0" t="n">
        <f aca="false">IF(L283="","",_xlfn.XLOOKUP(TRIM(L283),Metallic_Radius_Table!A:A,Metallic_Radius_Table!B:B))</f>
        <v>1.87</v>
      </c>
      <c r="N283" s="0" t="str">
        <f aca="false">TRIM(LEFT(C283,FIND(",",C283)-1))</f>
        <v>Fe</v>
      </c>
      <c r="O283" s="3" t="n">
        <f aca="false">IF(N283="","",_xlfn.XLOOKUP(TRIM(N283),Metallic_Radius_Table!A:A,Metallic_Radius_Table!B:B))</f>
        <v>1.26</v>
      </c>
      <c r="P283" s="0" t="str">
        <f aca="false">TRIM(MID(C283,FIND(",",C283)+1,5))</f>
        <v>Zr</v>
      </c>
      <c r="Q283" s="0" t="n">
        <f aca="false">IF(P283="","",_xlfn.XLOOKUP(TRIM(P283),Metallic_Radius_Table!A:A,Metallic_Radius_Table!B:B))</f>
        <v>1.6</v>
      </c>
      <c r="R283" s="0" t="str">
        <f aca="false">IF(G283&gt;=1,   "Ferromagnetic / Ferrimagnetic",   IF(G283&gt;=0.05,      "Paramagnetic / Weakly magnetic",      "Antiferromagnetic / Diamagnetic"))</f>
        <v>Ferromagnetic / Ferrimagnetic</v>
      </c>
      <c r="U283" s="0" t="str">
        <f aca="false">IF(G283&gt;=1,
   "FM → PM (Curie-type)",
   IF(G283&lt;0.05,
      "AFM → PM (Néel-type)",
      "No long-range magnetic transition"))</f>
        <v>FM → PM (Curie-type)</v>
      </c>
    </row>
    <row r="284" customFormat="false" ht="14.25" hidden="false" customHeight="false" outlineLevel="0" collapsed="false">
      <c r="A284" s="0" t="s">
        <v>655</v>
      </c>
      <c r="B284" s="0" t="s">
        <v>656</v>
      </c>
      <c r="C284" s="0" t="s">
        <v>128</v>
      </c>
      <c r="D284" s="0" t="n">
        <v>-3.238007250225</v>
      </c>
      <c r="E284" s="0" t="n">
        <v>0.107891218662517</v>
      </c>
      <c r="F284" s="0" t="n">
        <v>0</v>
      </c>
      <c r="G284" s="0" t="n">
        <v>0.000184</v>
      </c>
      <c r="H284" s="0" t="s">
        <v>111</v>
      </c>
      <c r="I284" s="2" t="b">
        <f aca="false">TRUE()</f>
        <v>1</v>
      </c>
      <c r="J284" s="0" t="str">
        <f aca="false">IF(AND(CODE(MID(B284,2,1))&gt;=97,CODE(MID(B284,2,1))&lt;=122),LEFT(B284,2),LEFT(B284,1))</f>
        <v>K</v>
      </c>
      <c r="K284" s="0" t="n">
        <f aca="false">IF(J284="","",_xlfn.XLOOKUP(TRIM(J284),Metallic_Radius_Table!A:A,Metallic_Radius_Table!B:B))</f>
        <v>2.27</v>
      </c>
      <c r="L284" s="0" t="str">
        <f aca="false">IF(ISNUMBER(SEARCH("La",B284)),"La",
 IF(ISNUMBER(SEARCH("Nd",B284)),"Nd",
 IF(ISNUMBER(SEARCH("Eu",B284)),"Eu",
 IF(ISNUMBER(SEARCH("Gd",B284)),"Gd",""))))</f>
        <v>La</v>
      </c>
      <c r="M284" s="0" t="n">
        <f aca="false">IF(L284="","",_xlfn.XLOOKUP(TRIM(L284),Metallic_Radius_Table!A:A,Metallic_Radius_Table!B:B))</f>
        <v>1.87</v>
      </c>
      <c r="N284" s="0" t="str">
        <f aca="false">TRIM(LEFT(C284,FIND(",",C284)-1))</f>
        <v>Zr</v>
      </c>
      <c r="O284" s="3" t="n">
        <f aca="false">IF(N284="","",_xlfn.XLOOKUP(TRIM(N284),Metallic_Radius_Table!A:A,Metallic_Radius_Table!B:B))</f>
        <v>1.6</v>
      </c>
      <c r="P284" s="0" t="str">
        <f aca="false">TRIM(MID(C284,FIND(",",C284)+1,5))</f>
        <v>Nb</v>
      </c>
      <c r="Q284" s="0" t="n">
        <f aca="false">IF(P284="","",_xlfn.XLOOKUP(TRIM(P284),Metallic_Radius_Table!A:A,Metallic_Radius_Table!B:B))</f>
        <v>1.46</v>
      </c>
      <c r="R284" s="0" t="str">
        <f aca="false">IF(G284&gt;=1,   "Ferromagnetic / Ferrimagnetic",   IF(G284&gt;=0.05,      "Paramagnetic / Weakly magnetic",      "Antiferromagnetic / Diamagnetic"))</f>
        <v>Antiferromagnetic / Diamagnetic</v>
      </c>
      <c r="U284" s="0" t="str">
        <f aca="false">IF(G284&gt;=1,
   "FM → PM (Curie-type)",
   IF(G284&lt;0.05,
      "AFM → PM (Néel-type)",
      "No long-range magnetic transition"))</f>
        <v>AFM → PM (Néel-type)</v>
      </c>
    </row>
    <row r="285" customFormat="false" ht="14.25" hidden="false" customHeight="false" outlineLevel="0" collapsed="false">
      <c r="A285" s="0" t="s">
        <v>657</v>
      </c>
      <c r="B285" s="0" t="s">
        <v>658</v>
      </c>
      <c r="C285" s="0" t="s">
        <v>216</v>
      </c>
      <c r="D285" s="0" t="n">
        <v>-3.41863078055833</v>
      </c>
      <c r="E285" s="0" t="n">
        <v>0.107456922000009</v>
      </c>
      <c r="F285" s="0" t="n">
        <v>2.23469999999999</v>
      </c>
      <c r="G285" s="0" t="n">
        <v>0</v>
      </c>
      <c r="H285" s="0" t="s">
        <v>111</v>
      </c>
      <c r="I285" s="2" t="b">
        <f aca="false">TRUE()</f>
        <v>1</v>
      </c>
      <c r="J285" s="0" t="str">
        <f aca="false">IF(AND(CODE(MID(B285,2,1))&gt;=97,CODE(MID(B285,2,1))&lt;=122),LEFT(B285,2),LEFT(B285,1))</f>
        <v>K</v>
      </c>
      <c r="K285" s="0" t="n">
        <f aca="false">IF(J285="","",_xlfn.XLOOKUP(TRIM(J285),Metallic_Radius_Table!A:A,Metallic_Radius_Table!B:B))</f>
        <v>2.27</v>
      </c>
      <c r="L285" s="0" t="str">
        <f aca="false">IF(ISNUMBER(SEARCH("La",B285)),"La",
 IF(ISNUMBER(SEARCH("Nd",B285)),"Nd",
 IF(ISNUMBER(SEARCH("Eu",B285)),"Eu",
 IF(ISNUMBER(SEARCH("Gd",B285)),"Gd",""))))</f>
        <v>La</v>
      </c>
      <c r="M285" s="0" t="n">
        <f aca="false">IF(L285="","",_xlfn.XLOOKUP(TRIM(L285),Metallic_Radius_Table!A:A,Metallic_Radius_Table!B:B))</f>
        <v>1.87</v>
      </c>
      <c r="N285" s="0" t="str">
        <f aca="false">TRIM(LEFT(C285,FIND(",",C285)-1))</f>
        <v>Zr</v>
      </c>
      <c r="O285" s="3" t="n">
        <f aca="false">IF(N285="","",_xlfn.XLOOKUP(TRIM(N285),Metallic_Radius_Table!A:A,Metallic_Radius_Table!B:B))</f>
        <v>1.6</v>
      </c>
      <c r="P285" s="0" t="str">
        <f aca="false">TRIM(MID(C285,FIND(",",C285)+1,5))</f>
        <v>Ti</v>
      </c>
      <c r="Q285" s="0" t="n">
        <f aca="false">IF(P285="","",_xlfn.XLOOKUP(TRIM(P285),Metallic_Radius_Table!A:A,Metallic_Radius_Table!B:B))</f>
        <v>1.47</v>
      </c>
      <c r="R285" s="0" t="str">
        <f aca="false">IF(G285&gt;=1,   "Ferromagnetic / Ferrimagnetic",   IF(G285&gt;=0.05,      "Paramagnetic / Weakly magnetic",      "Antiferromagnetic / Diamagnetic"))</f>
        <v>Antiferromagnetic / Diamagnetic</v>
      </c>
      <c r="U285" s="0" t="str">
        <f aca="false">IF(G285&gt;=1,
   "FM → PM (Curie-type)",
   IF(G285&lt;0.05,
      "AFM → PM (Néel-type)",
      "No long-range magnetic transition"))</f>
        <v>AFM → PM (Néel-type)</v>
      </c>
    </row>
    <row r="286" customFormat="false" ht="14.25" hidden="false" customHeight="false" outlineLevel="0" collapsed="false">
      <c r="A286" s="0" t="s">
        <v>659</v>
      </c>
      <c r="B286" s="0" t="s">
        <v>660</v>
      </c>
      <c r="C286" s="0" t="s">
        <v>529</v>
      </c>
      <c r="D286" s="0" t="n">
        <v>-3.074095344225</v>
      </c>
      <c r="E286" s="0" t="n">
        <v>0.163445347531244</v>
      </c>
      <c r="F286" s="0" t="n">
        <v>0</v>
      </c>
      <c r="G286" s="0" t="n">
        <v>0.999999699999999</v>
      </c>
      <c r="H286" s="0" t="s">
        <v>111</v>
      </c>
      <c r="I286" s="2" t="b">
        <f aca="false">TRUE()</f>
        <v>1</v>
      </c>
      <c r="J286" s="0" t="str">
        <f aca="false">IF(AND(CODE(MID(B286,2,1))&gt;=97,CODE(MID(B286,2,1))&lt;=122),LEFT(B286,2),LEFT(B286,1))</f>
        <v>K</v>
      </c>
      <c r="K286" s="0" t="n">
        <f aca="false">IF(J286="","",_xlfn.XLOOKUP(TRIM(J286),Metallic_Radius_Table!A:A,Metallic_Radius_Table!B:B))</f>
        <v>2.27</v>
      </c>
      <c r="L286" s="0" t="str">
        <f aca="false">IF(ISNUMBER(SEARCH("La",B286)),"La",
 IF(ISNUMBER(SEARCH("Nd",B286)),"Nd",
 IF(ISNUMBER(SEARCH("Eu",B286)),"Eu",
 IF(ISNUMBER(SEARCH("Gd",B286)),"Gd",""))))</f>
        <v>La</v>
      </c>
      <c r="M286" s="0" t="n">
        <f aca="false">IF(L286="","",_xlfn.XLOOKUP(TRIM(L286),Metallic_Radius_Table!A:A,Metallic_Radius_Table!B:B))</f>
        <v>1.87</v>
      </c>
      <c r="N286" s="0" t="str">
        <f aca="false">TRIM(LEFT(C286,FIND(",",C286)-1))</f>
        <v>Zr</v>
      </c>
      <c r="O286" s="3" t="n">
        <f aca="false">IF(N286="","",_xlfn.XLOOKUP(TRIM(N286),Metallic_Radius_Table!A:A,Metallic_Radius_Table!B:B))</f>
        <v>1.6</v>
      </c>
      <c r="P286" s="0" t="str">
        <f aca="false">TRIM(MID(C286,FIND(",",C286)+1,5))</f>
        <v>V</v>
      </c>
      <c r="Q286" s="0" t="n">
        <f aca="false">IF(P286="","",_xlfn.XLOOKUP(TRIM(P286),Metallic_Radius_Table!A:A,Metallic_Radius_Table!B:B))</f>
        <v>1.34</v>
      </c>
      <c r="R286" s="0" t="str">
        <f aca="false">IF(G286&gt;=1,   "Ferromagnetic / Ferrimagnetic",   IF(G286&gt;=0.05,      "Paramagnetic / Weakly magnetic",      "Antiferromagnetic / Diamagnetic"))</f>
        <v>Paramagnetic / Weakly magnetic</v>
      </c>
      <c r="U286" s="0" t="str">
        <f aca="false">IF(G286&gt;=1,
   "FM → PM (Curie-type)",
   IF(G286&lt;0.05,
      "AFM → PM (Néel-type)",
      "No long-range magnetic transition"))</f>
        <v>No long-range magnetic transition</v>
      </c>
    </row>
    <row r="287" customFormat="false" ht="14.25" hidden="false" customHeight="false" outlineLevel="0" collapsed="false">
      <c r="A287" s="0" t="s">
        <v>661</v>
      </c>
      <c r="B287" s="0" t="s">
        <v>662</v>
      </c>
      <c r="C287" s="0" t="s">
        <v>79</v>
      </c>
      <c r="D287" s="0" t="n">
        <v>-1.8991533695181</v>
      </c>
      <c r="E287" s="0" t="n">
        <v>0.177534173000001</v>
      </c>
      <c r="F287" s="0" t="n">
        <v>0</v>
      </c>
      <c r="G287" s="0" t="n">
        <v>4.9886104</v>
      </c>
      <c r="H287" s="0" t="s">
        <v>111</v>
      </c>
      <c r="I287" s="2" t="b">
        <f aca="false">TRUE()</f>
        <v>1</v>
      </c>
      <c r="J287" s="0" t="str">
        <f aca="false">IF(AND(CODE(MID(B287,2,1))&gt;=97,CODE(MID(B287,2,1))&lt;=122),LEFT(B287,2),LEFT(B287,1))</f>
        <v>K</v>
      </c>
      <c r="K287" s="0" t="n">
        <f aca="false">IF(J287="","",_xlfn.XLOOKUP(TRIM(J287),Metallic_Radius_Table!A:A,Metallic_Radius_Table!B:B))</f>
        <v>2.27</v>
      </c>
      <c r="L287" s="0" t="str">
        <f aca="false">IF(ISNUMBER(SEARCH("La",B287)),"La",
 IF(ISNUMBER(SEARCH("Nd",B287)),"Nd",
 IF(ISNUMBER(SEARCH("Eu",B287)),"Eu",
 IF(ISNUMBER(SEARCH("Gd",B287)),"Gd",""))))</f>
        <v/>
      </c>
      <c r="M287" s="0" t="str">
        <f aca="false">IF(L287="","",_xlfn.XLOOKUP(TRIM(L287),Metallic_Radius_Table!A:A,Metallic_Radius_Table!B:B))</f>
        <v/>
      </c>
      <c r="N287" s="0" t="str">
        <f aca="false">TRIM(LEFT(C287,FIND(",",C287)-1))</f>
        <v>Mn</v>
      </c>
      <c r="O287" s="3" t="n">
        <f aca="false">IF(N287="","",_xlfn.XLOOKUP(TRIM(N287),Metallic_Radius_Table!A:A,Metallic_Radius_Table!B:B))</f>
        <v>1.27</v>
      </c>
      <c r="P287" s="0" t="str">
        <f aca="false">TRIM(MID(C287,FIND(",",C287)+1,5))</f>
        <v>W</v>
      </c>
      <c r="Q287" s="0" t="n">
        <f aca="false">IF(P287="","",_xlfn.XLOOKUP(TRIM(P287),Metallic_Radius_Table!A:A,Metallic_Radius_Table!B:B))</f>
        <v>1.41</v>
      </c>
      <c r="R287" s="0" t="str">
        <f aca="false">IF(G287&gt;=1,   "Ferromagnetic / Ferrimagnetic",   IF(G287&gt;=0.05,      "Paramagnetic / Weakly magnetic",      "Antiferromagnetic / Diamagnetic"))</f>
        <v>Ferromagnetic / Ferrimagnetic</v>
      </c>
      <c r="U287" s="0" t="str">
        <f aca="false">IF(G287&gt;=1,
   "FM → PM (Curie-type)",
   IF(G287&lt;0.05,
      "AFM → PM (Néel-type)",
      "No long-range magnetic transition"))</f>
        <v>FM → PM (Curie-type)</v>
      </c>
    </row>
    <row r="288" customFormat="false" ht="14.25" hidden="false" customHeight="false" outlineLevel="0" collapsed="false">
      <c r="A288" s="0" t="s">
        <v>663</v>
      </c>
      <c r="B288" s="0" t="s">
        <v>664</v>
      </c>
      <c r="C288" s="0" t="s">
        <v>148</v>
      </c>
      <c r="D288" s="0" t="n">
        <v>-3.43645932280833</v>
      </c>
      <c r="E288" s="0" t="n">
        <v>0.128941203750002</v>
      </c>
      <c r="F288" s="0" t="n">
        <v>2.2033</v>
      </c>
      <c r="G288" s="0" t="n">
        <v>0</v>
      </c>
      <c r="H288" s="0" t="s">
        <v>111</v>
      </c>
      <c r="I288" s="2" t="b">
        <f aca="false">TRUE()</f>
        <v>1</v>
      </c>
      <c r="J288" s="0" t="str">
        <f aca="false">IF(AND(CODE(MID(B288,2,1))&gt;=97,CODE(MID(B288,2,1))&lt;=122),LEFT(B288,2),LEFT(B288,1))</f>
        <v>K</v>
      </c>
      <c r="K288" s="0" t="n">
        <f aca="false">IF(J288="","",_xlfn.XLOOKUP(TRIM(J288),Metallic_Radius_Table!A:A,Metallic_Radius_Table!B:B))</f>
        <v>2.27</v>
      </c>
      <c r="L288" s="0" t="str">
        <f aca="false">IF(ISNUMBER(SEARCH("La",B288)),"La",
 IF(ISNUMBER(SEARCH("Nd",B288)),"Nd",
 IF(ISNUMBER(SEARCH("Eu",B288)),"Eu",
 IF(ISNUMBER(SEARCH("Gd",B288)),"Gd",""))))</f>
        <v>Nd</v>
      </c>
      <c r="M288" s="0" t="n">
        <f aca="false">IF(L288="","",_xlfn.XLOOKUP(TRIM(L288),Metallic_Radius_Table!A:A,Metallic_Radius_Table!B:B))</f>
        <v>1.82</v>
      </c>
      <c r="N288" s="0" t="str">
        <f aca="false">TRIM(LEFT(C288,FIND(",",C288)-1))</f>
        <v>Hf</v>
      </c>
      <c r="O288" s="3" t="n">
        <f aca="false">IF(N288="","",_xlfn.XLOOKUP(TRIM(N288),Metallic_Radius_Table!A:A,Metallic_Radius_Table!B:B))</f>
        <v>1.59</v>
      </c>
      <c r="P288" s="0" t="str">
        <f aca="false">TRIM(MID(C288,FIND(",",C288)+1,5))</f>
        <v>Ti</v>
      </c>
      <c r="Q288" s="0" t="n">
        <f aca="false">IF(P288="","",_xlfn.XLOOKUP(TRIM(P288),Metallic_Radius_Table!A:A,Metallic_Radius_Table!B:B))</f>
        <v>1.47</v>
      </c>
      <c r="R288" s="0" t="str">
        <f aca="false">IF(G288&gt;=1,   "Ferromagnetic / Ferrimagnetic",   IF(G288&gt;=0.05,      "Paramagnetic / Weakly magnetic",      "Antiferromagnetic / Diamagnetic"))</f>
        <v>Antiferromagnetic / Diamagnetic</v>
      </c>
      <c r="U288" s="0" t="str">
        <f aca="false">IF(G288&gt;=1,
   "FM → PM (Curie-type)",
   IF(G288&lt;0.05,
      "AFM → PM (Néel-type)",
      "No long-range magnetic transition"))</f>
        <v>AFM → PM (Néel-type)</v>
      </c>
    </row>
    <row r="289" customFormat="false" ht="14.25" hidden="false" customHeight="false" outlineLevel="0" collapsed="false">
      <c r="A289" s="0" t="s">
        <v>665</v>
      </c>
      <c r="B289" s="0" t="s">
        <v>666</v>
      </c>
      <c r="C289" s="0" t="s">
        <v>120</v>
      </c>
      <c r="D289" s="0" t="n">
        <v>-3.451703276475</v>
      </c>
      <c r="E289" s="0" t="n">
        <v>0.157516181124995</v>
      </c>
      <c r="F289" s="0" t="n">
        <v>2.6382</v>
      </c>
      <c r="G289" s="0" t="n">
        <v>0</v>
      </c>
      <c r="H289" s="0" t="s">
        <v>111</v>
      </c>
      <c r="I289" s="2" t="b">
        <f aca="false">TRUE()</f>
        <v>1</v>
      </c>
      <c r="J289" s="0" t="str">
        <f aca="false">IF(AND(CODE(MID(B289,2,1))&gt;=97,CODE(MID(B289,2,1))&lt;=122),LEFT(B289,2),LEFT(B289,1))</f>
        <v>K</v>
      </c>
      <c r="K289" s="0" t="n">
        <f aca="false">IF(J289="","",_xlfn.XLOOKUP(TRIM(J289),Metallic_Radius_Table!A:A,Metallic_Radius_Table!B:B))</f>
        <v>2.27</v>
      </c>
      <c r="L289" s="0" t="str">
        <f aca="false">IF(ISNUMBER(SEARCH("La",B289)),"La",
 IF(ISNUMBER(SEARCH("Nd",B289)),"Nd",
 IF(ISNUMBER(SEARCH("Eu",B289)),"Eu",
 IF(ISNUMBER(SEARCH("Gd",B289)),"Gd",""))))</f>
        <v>Nd</v>
      </c>
      <c r="M289" s="0" t="n">
        <f aca="false">IF(L289="","",_xlfn.XLOOKUP(TRIM(L289),Metallic_Radius_Table!A:A,Metallic_Radius_Table!B:B))</f>
        <v>1.82</v>
      </c>
      <c r="N289" s="0" t="str">
        <f aca="false">TRIM(LEFT(C289,FIND(",",C289)-1))</f>
        <v>Zr</v>
      </c>
      <c r="O289" s="3" t="n">
        <f aca="false">IF(N289="","",_xlfn.XLOOKUP(TRIM(N289),Metallic_Radius_Table!A:A,Metallic_Radius_Table!B:B))</f>
        <v>1.6</v>
      </c>
      <c r="P289" s="0" t="str">
        <f aca="false">TRIM(MID(C289,FIND(",",C289)+1,5))</f>
        <v>Hf</v>
      </c>
      <c r="Q289" s="0" t="n">
        <f aca="false">IF(P289="","",_xlfn.XLOOKUP(TRIM(P289),Metallic_Radius_Table!A:A,Metallic_Radius_Table!B:B))</f>
        <v>1.59</v>
      </c>
      <c r="R289" s="0" t="str">
        <f aca="false">IF(G289&gt;=1,   "Ferromagnetic / Ferrimagnetic",   IF(G289&gt;=0.05,      "Paramagnetic / Weakly magnetic",      "Antiferromagnetic / Diamagnetic"))</f>
        <v>Antiferromagnetic / Diamagnetic</v>
      </c>
      <c r="U289" s="0" t="str">
        <f aca="false">IF(G289&gt;=1,
   "FM → PM (Curie-type)",
   IF(G289&lt;0.05,
      "AFM → PM (Néel-type)",
      "No long-range magnetic transition"))</f>
        <v>AFM → PM (Néel-type)</v>
      </c>
    </row>
    <row r="290" customFormat="false" ht="14.25" hidden="false" customHeight="false" outlineLevel="0" collapsed="false">
      <c r="A290" s="0" t="s">
        <v>667</v>
      </c>
      <c r="B290" s="0" t="s">
        <v>668</v>
      </c>
      <c r="C290" s="0" t="s">
        <v>79</v>
      </c>
      <c r="D290" s="0" t="n">
        <v>-2.6512064642681</v>
      </c>
      <c r="E290" s="0" t="n">
        <v>0.002017938999999</v>
      </c>
      <c r="F290" s="0" t="n">
        <v>2.6477</v>
      </c>
      <c r="G290" s="0" t="n">
        <v>9.9995739</v>
      </c>
      <c r="H290" s="0" t="s">
        <v>634</v>
      </c>
      <c r="I290" s="2" t="b">
        <f aca="false">TRUE()</f>
        <v>1</v>
      </c>
      <c r="J290" s="0" t="str">
        <f aca="false">IF(AND(CODE(MID(B290,2,1))&gt;=97,CODE(MID(B290,2,1))&lt;=122),LEFT(B290,2),LEFT(B290,1))</f>
        <v>K</v>
      </c>
      <c r="K290" s="0" t="n">
        <f aca="false">IF(J290="","",_xlfn.XLOOKUP(TRIM(J290),Metallic_Radius_Table!A:A,Metallic_Radius_Table!B:B))</f>
        <v>2.27</v>
      </c>
      <c r="L290" s="0" t="str">
        <f aca="false">IF(ISNUMBER(SEARCH("La",B290)),"La",
 IF(ISNUMBER(SEARCH("Nd",B290)),"Nd",
 IF(ISNUMBER(SEARCH("Eu",B290)),"Eu",
 IF(ISNUMBER(SEARCH("Gd",B290)),"Gd",""))))</f>
        <v>Nd</v>
      </c>
      <c r="M290" s="0" t="n">
        <f aca="false">IF(L290="","",_xlfn.XLOOKUP(TRIM(L290),Metallic_Radius_Table!A:A,Metallic_Radius_Table!B:B))</f>
        <v>1.82</v>
      </c>
      <c r="N290" s="0" t="str">
        <f aca="false">TRIM(LEFT(C290,FIND(",",C290)-1))</f>
        <v>Mn</v>
      </c>
      <c r="O290" s="3" t="n">
        <f aca="false">IF(N290="","",_xlfn.XLOOKUP(TRIM(N290),Metallic_Radius_Table!A:A,Metallic_Radius_Table!B:B))</f>
        <v>1.27</v>
      </c>
      <c r="P290" s="0" t="str">
        <f aca="false">TRIM(MID(C290,FIND(",",C290)+1,5))</f>
        <v>W</v>
      </c>
      <c r="Q290" s="0" t="n">
        <f aca="false">IF(P290="","",_xlfn.XLOOKUP(TRIM(P290),Metallic_Radius_Table!A:A,Metallic_Radius_Table!B:B))</f>
        <v>1.41</v>
      </c>
      <c r="R290" s="0" t="str">
        <f aca="false">IF(G290&gt;=1,   "Ferromagnetic / Ferrimagnetic",   IF(G290&gt;=0.05,      "Paramagnetic / Weakly magnetic",      "Antiferromagnetic / Diamagnetic"))</f>
        <v>Ferromagnetic / Ferrimagnetic</v>
      </c>
      <c r="U290" s="0" t="str">
        <f aca="false">IF(G290&gt;=1,
   "FM → PM (Curie-type)",
   IF(G290&lt;0.05,
      "AFM → PM (Néel-type)",
      "No long-range magnetic transition"))</f>
        <v>FM → PM (Curie-type)</v>
      </c>
    </row>
    <row r="291" customFormat="false" ht="14.25" hidden="false" customHeight="false" outlineLevel="0" collapsed="false">
      <c r="A291" s="0" t="s">
        <v>669</v>
      </c>
      <c r="B291" s="0" t="s">
        <v>670</v>
      </c>
      <c r="C291" s="0" t="s">
        <v>479</v>
      </c>
      <c r="D291" s="0" t="n">
        <v>-2.663656030475</v>
      </c>
      <c r="E291" s="0" t="n">
        <v>0.158591453229192</v>
      </c>
      <c r="F291" s="0" t="n">
        <v>0</v>
      </c>
      <c r="G291" s="0" t="n">
        <v>4.0000006</v>
      </c>
      <c r="H291" s="0" t="s">
        <v>111</v>
      </c>
      <c r="I291" s="2" t="b">
        <f aca="false">TRUE()</f>
        <v>1</v>
      </c>
      <c r="J291" s="0" t="str">
        <f aca="false">IF(AND(CODE(MID(B291,2,1))&gt;=97,CODE(MID(B291,2,1))&lt;=122),LEFT(B291,2),LEFT(B291,1))</f>
        <v>K</v>
      </c>
      <c r="K291" s="0" t="n">
        <f aca="false">IF(J291="","",_xlfn.XLOOKUP(TRIM(J291),Metallic_Radius_Table!A:A,Metallic_Radius_Table!B:B))</f>
        <v>2.27</v>
      </c>
      <c r="L291" s="0" t="str">
        <f aca="false">IF(ISNUMBER(SEARCH("La",B291)),"La",
 IF(ISNUMBER(SEARCH("Nd",B291)),"Nd",
 IF(ISNUMBER(SEARCH("Eu",B291)),"Eu",
 IF(ISNUMBER(SEARCH("Gd",B291)),"Gd",""))))</f>
        <v>Nd</v>
      </c>
      <c r="M291" s="0" t="n">
        <f aca="false">IF(L291="","",_xlfn.XLOOKUP(TRIM(L291),Metallic_Radius_Table!A:A,Metallic_Radius_Table!B:B))</f>
        <v>1.82</v>
      </c>
      <c r="N291" s="0" t="str">
        <f aca="false">TRIM(LEFT(C291,FIND(",",C291)-1))</f>
        <v>Fe</v>
      </c>
      <c r="O291" s="3" t="n">
        <f aca="false">IF(N291="","",_xlfn.XLOOKUP(TRIM(N291),Metallic_Radius_Table!A:A,Metallic_Radius_Table!B:B))</f>
        <v>1.26</v>
      </c>
      <c r="P291" s="0" t="str">
        <f aca="false">TRIM(MID(C291,FIND(",",C291)+1,5))</f>
        <v>Zr</v>
      </c>
      <c r="Q291" s="0" t="n">
        <f aca="false">IF(P291="","",_xlfn.XLOOKUP(TRIM(P291),Metallic_Radius_Table!A:A,Metallic_Radius_Table!B:B))</f>
        <v>1.6</v>
      </c>
      <c r="R291" s="0" t="str">
        <f aca="false">IF(G291&gt;=1,   "Ferromagnetic / Ferrimagnetic",   IF(G291&gt;=0.05,      "Paramagnetic / Weakly magnetic",      "Antiferromagnetic / Diamagnetic"))</f>
        <v>Ferromagnetic / Ferrimagnetic</v>
      </c>
      <c r="U291" s="0" t="str">
        <f aca="false">IF(G291&gt;=1,
   "FM → PM (Curie-type)",
   IF(G291&lt;0.05,
      "AFM → PM (Néel-type)",
      "No long-range magnetic transition"))</f>
        <v>FM → PM (Curie-type)</v>
      </c>
    </row>
    <row r="292" customFormat="false" ht="14.25" hidden="false" customHeight="false" outlineLevel="0" collapsed="false">
      <c r="A292" s="0" t="s">
        <v>671</v>
      </c>
      <c r="B292" s="0" t="s">
        <v>672</v>
      </c>
      <c r="C292" s="0" t="s">
        <v>128</v>
      </c>
      <c r="D292" s="0" t="n">
        <v>-3.154256782475</v>
      </c>
      <c r="E292" s="0" t="n">
        <v>0.156023616787511</v>
      </c>
      <c r="F292" s="0" t="n">
        <v>0</v>
      </c>
      <c r="G292" s="4" t="n">
        <v>7.95E-005</v>
      </c>
      <c r="H292" s="0" t="s">
        <v>111</v>
      </c>
      <c r="I292" s="2" t="b">
        <f aca="false">TRUE()</f>
        <v>1</v>
      </c>
      <c r="J292" s="0" t="str">
        <f aca="false">IF(AND(CODE(MID(B292,2,1))&gt;=97,CODE(MID(B292,2,1))&lt;=122),LEFT(B292,2),LEFT(B292,1))</f>
        <v>K</v>
      </c>
      <c r="K292" s="0" t="n">
        <f aca="false">IF(J292="","",_xlfn.XLOOKUP(TRIM(J292),Metallic_Radius_Table!A:A,Metallic_Radius_Table!B:B))</f>
        <v>2.27</v>
      </c>
      <c r="L292" s="0" t="str">
        <f aca="false">IF(ISNUMBER(SEARCH("La",B292)),"La",
 IF(ISNUMBER(SEARCH("Nd",B292)),"Nd",
 IF(ISNUMBER(SEARCH("Eu",B292)),"Eu",
 IF(ISNUMBER(SEARCH("Gd",B292)),"Gd",""))))</f>
        <v>Nd</v>
      </c>
      <c r="M292" s="0" t="n">
        <f aca="false">IF(L292="","",_xlfn.XLOOKUP(TRIM(L292),Metallic_Radius_Table!A:A,Metallic_Radius_Table!B:B))</f>
        <v>1.82</v>
      </c>
      <c r="N292" s="0" t="str">
        <f aca="false">TRIM(LEFT(C292,FIND(",",C292)-1))</f>
        <v>Zr</v>
      </c>
      <c r="O292" s="3" t="n">
        <f aca="false">IF(N292="","",_xlfn.XLOOKUP(TRIM(N292),Metallic_Radius_Table!A:A,Metallic_Radius_Table!B:B))</f>
        <v>1.6</v>
      </c>
      <c r="P292" s="0" t="str">
        <f aca="false">TRIM(MID(C292,FIND(",",C292)+1,5))</f>
        <v>Nb</v>
      </c>
      <c r="Q292" s="0" t="n">
        <f aca="false">IF(P292="","",_xlfn.XLOOKUP(TRIM(P292),Metallic_Radius_Table!A:A,Metallic_Radius_Table!B:B))</f>
        <v>1.46</v>
      </c>
      <c r="R292" s="0" t="str">
        <f aca="false">IF(G292&gt;=1,   "Ferromagnetic / Ferrimagnetic",   IF(G292&gt;=0.05,      "Paramagnetic / Weakly magnetic",      "Antiferromagnetic / Diamagnetic"))</f>
        <v>Antiferromagnetic / Diamagnetic</v>
      </c>
      <c r="U292" s="0" t="str">
        <f aca="false">IF(G292&gt;=1,
   "FM → PM (Curie-type)",
   IF(G292&lt;0.05,
      "AFM → PM (Néel-type)",
      "No long-range magnetic transition"))</f>
        <v>AFM → PM (Néel-type)</v>
      </c>
    </row>
    <row r="293" customFormat="false" ht="14.25" hidden="false" customHeight="false" outlineLevel="0" collapsed="false">
      <c r="A293" s="0" t="s">
        <v>673</v>
      </c>
      <c r="B293" s="0" t="s">
        <v>674</v>
      </c>
      <c r="C293" s="0" t="s">
        <v>216</v>
      </c>
      <c r="D293" s="0" t="n">
        <v>-3.34876482580833</v>
      </c>
      <c r="E293" s="0" t="n">
        <v>0.140485095250024</v>
      </c>
      <c r="F293" s="0" t="n">
        <v>2.1104</v>
      </c>
      <c r="G293" s="4" t="n">
        <v>2.85E-005</v>
      </c>
      <c r="H293" s="0" t="s">
        <v>111</v>
      </c>
      <c r="I293" s="2" t="b">
        <f aca="false">TRUE()</f>
        <v>1</v>
      </c>
      <c r="J293" s="0" t="str">
        <f aca="false">IF(AND(CODE(MID(B293,2,1))&gt;=97,CODE(MID(B293,2,1))&lt;=122),LEFT(B293,2),LEFT(B293,1))</f>
        <v>K</v>
      </c>
      <c r="K293" s="0" t="n">
        <f aca="false">IF(J293="","",_xlfn.XLOOKUP(TRIM(J293),Metallic_Radius_Table!A:A,Metallic_Radius_Table!B:B))</f>
        <v>2.27</v>
      </c>
      <c r="L293" s="0" t="str">
        <f aca="false">IF(ISNUMBER(SEARCH("La",B293)),"La",
 IF(ISNUMBER(SEARCH("Nd",B293)),"Nd",
 IF(ISNUMBER(SEARCH("Eu",B293)),"Eu",
 IF(ISNUMBER(SEARCH("Gd",B293)),"Gd",""))))</f>
        <v>Nd</v>
      </c>
      <c r="M293" s="0" t="n">
        <f aca="false">IF(L293="","",_xlfn.XLOOKUP(TRIM(L293),Metallic_Radius_Table!A:A,Metallic_Radius_Table!B:B))</f>
        <v>1.82</v>
      </c>
      <c r="N293" s="0" t="str">
        <f aca="false">TRIM(LEFT(C293,FIND(",",C293)-1))</f>
        <v>Zr</v>
      </c>
      <c r="O293" s="3" t="n">
        <f aca="false">IF(N293="","",_xlfn.XLOOKUP(TRIM(N293),Metallic_Radius_Table!A:A,Metallic_Radius_Table!B:B))</f>
        <v>1.6</v>
      </c>
      <c r="P293" s="0" t="str">
        <f aca="false">TRIM(MID(C293,FIND(",",C293)+1,5))</f>
        <v>Ti</v>
      </c>
      <c r="Q293" s="0" t="n">
        <f aca="false">IF(P293="","",_xlfn.XLOOKUP(TRIM(P293),Metallic_Radius_Table!A:A,Metallic_Radius_Table!B:B))</f>
        <v>1.47</v>
      </c>
      <c r="R293" s="0" t="str">
        <f aca="false">IF(G293&gt;=1,   "Ferromagnetic / Ferrimagnetic",   IF(G293&gt;=0.05,      "Paramagnetic / Weakly magnetic",      "Antiferromagnetic / Diamagnetic"))</f>
        <v>Antiferromagnetic / Diamagnetic</v>
      </c>
      <c r="U293" s="0" t="str">
        <f aca="false">IF(G293&gt;=1,
   "FM → PM (Curie-type)",
   IF(G293&lt;0.05,
      "AFM → PM (Néel-type)",
      "No long-range magnetic transition"))</f>
        <v>AFM → PM (Néel-type)</v>
      </c>
    </row>
    <row r="294" customFormat="false" ht="14.25" hidden="false" customHeight="false" outlineLevel="0" collapsed="false">
      <c r="A294" s="0" t="s">
        <v>675</v>
      </c>
      <c r="B294" s="0" t="s">
        <v>676</v>
      </c>
      <c r="C294" s="0" t="s">
        <v>108</v>
      </c>
      <c r="D294" s="0" t="n">
        <v>-1.73030762872499</v>
      </c>
      <c r="E294" s="0" t="n">
        <v>0.183483020500002</v>
      </c>
      <c r="F294" s="0" t="n">
        <v>1.3429</v>
      </c>
      <c r="G294" s="0" t="n">
        <v>2.0000009</v>
      </c>
      <c r="H294" s="0" t="s">
        <v>111</v>
      </c>
      <c r="I294" s="2" t="b">
        <f aca="false">TRUE()</f>
        <v>1</v>
      </c>
      <c r="J294" s="0" t="str">
        <f aca="false">IF(AND(CODE(MID(B294,2,1))&gt;=97,CODE(MID(B294,2,1))&lt;=122),LEFT(B294,2),LEFT(B294,1))</f>
        <v>K</v>
      </c>
      <c r="K294" s="0" t="n">
        <f aca="false">IF(J294="","",_xlfn.XLOOKUP(TRIM(J294),Metallic_Radius_Table!A:A,Metallic_Radius_Table!B:B))</f>
        <v>2.27</v>
      </c>
      <c r="L294" s="0" t="str">
        <f aca="false">IF(ISNUMBER(SEARCH("La",B294)),"La",
 IF(ISNUMBER(SEARCH("Nd",B294)),"Nd",
 IF(ISNUMBER(SEARCH("Eu",B294)),"Eu",
 IF(ISNUMBER(SEARCH("Gd",B294)),"Gd",""))))</f>
        <v/>
      </c>
      <c r="M294" s="0" t="str">
        <f aca="false">IF(L294="","",_xlfn.XLOOKUP(TRIM(L294),Metallic_Radius_Table!A:A,Metallic_Radius_Table!B:B))</f>
        <v/>
      </c>
      <c r="N294" s="0" t="str">
        <f aca="false">TRIM(LEFT(C294,FIND(",",C294)-1))</f>
        <v>Ni</v>
      </c>
      <c r="O294" s="3" t="n">
        <f aca="false">IF(N294="","",_xlfn.XLOOKUP(TRIM(N294),Metallic_Radius_Table!A:A,Metallic_Radius_Table!B:B))</f>
        <v>1.24</v>
      </c>
      <c r="P294" s="0" t="str">
        <f aca="false">TRIM(MID(C294,FIND(",",C294)+1,5))</f>
        <v>W</v>
      </c>
      <c r="Q294" s="0" t="n">
        <f aca="false">IF(P294="","",_xlfn.XLOOKUP(TRIM(P294),Metallic_Radius_Table!A:A,Metallic_Radius_Table!B:B))</f>
        <v>1.41</v>
      </c>
      <c r="R294" s="0" t="str">
        <f aca="false">IF(G294&gt;=1,   "Ferromagnetic / Ferrimagnetic",   IF(G294&gt;=0.05,      "Paramagnetic / Weakly magnetic",      "Antiferromagnetic / Diamagnetic"))</f>
        <v>Ferromagnetic / Ferrimagnetic</v>
      </c>
      <c r="U294" s="0" t="str">
        <f aca="false">IF(G294&gt;=1,
   "FM → PM (Curie-type)",
   IF(G294&lt;0.05,
      "AFM → PM (Néel-type)",
      "No long-range magnetic transition"))</f>
        <v>FM → PM (Curie-type)</v>
      </c>
    </row>
    <row r="295" customFormat="false" ht="14.25" hidden="false" customHeight="false" outlineLevel="0" collapsed="false">
      <c r="A295" s="0" t="s">
        <v>677</v>
      </c>
      <c r="B295" s="0" t="s">
        <v>678</v>
      </c>
      <c r="C295" s="0" t="s">
        <v>211</v>
      </c>
      <c r="D295" s="0" t="n">
        <v>-1.985765601725</v>
      </c>
      <c r="E295" s="0" t="n">
        <v>0.181008061983326</v>
      </c>
      <c r="F295" s="0" t="n">
        <v>0</v>
      </c>
      <c r="G295" s="0" t="n">
        <v>2.7230868</v>
      </c>
      <c r="H295" s="0" t="s">
        <v>111</v>
      </c>
      <c r="I295" s="2" t="b">
        <f aca="false">TRUE()</f>
        <v>1</v>
      </c>
      <c r="J295" s="0" t="str">
        <f aca="false">IF(AND(CODE(MID(B295,2,1))&gt;=97,CODE(MID(B295,2,1))&lt;=122),LEFT(B295,2),LEFT(B295,1))</f>
        <v>K</v>
      </c>
      <c r="K295" s="0" t="n">
        <f aca="false">IF(J295="","",_xlfn.XLOOKUP(TRIM(J295),Metallic_Radius_Table!A:A,Metallic_Radius_Table!B:B))</f>
        <v>2.27</v>
      </c>
      <c r="L295" s="0" t="str">
        <f aca="false">IF(ISNUMBER(SEARCH("La",B295)),"La",
 IF(ISNUMBER(SEARCH("Nd",B295)),"Nd",
 IF(ISNUMBER(SEARCH("Eu",B295)),"Eu",
 IF(ISNUMBER(SEARCH("Gd",B295)),"Gd",""))))</f>
        <v/>
      </c>
      <c r="M295" s="0" t="str">
        <f aca="false">IF(L295="","",_xlfn.XLOOKUP(TRIM(L295),Metallic_Radius_Table!A:A,Metallic_Radius_Table!B:B))</f>
        <v/>
      </c>
      <c r="N295" s="0" t="str">
        <f aca="false">TRIM(LEFT(C295,FIND(",",C295)-1))</f>
        <v>V</v>
      </c>
      <c r="O295" s="3" t="n">
        <f aca="false">IF(N295="","",_xlfn.XLOOKUP(TRIM(N295),Metallic_Radius_Table!A:A,Metallic_Radius_Table!B:B))</f>
        <v>1.34</v>
      </c>
      <c r="P295" s="0" t="str">
        <f aca="false">TRIM(MID(C295,FIND(",",C295)+1,5))</f>
        <v>W</v>
      </c>
      <c r="Q295" s="0" t="n">
        <f aca="false">IF(P295="","",_xlfn.XLOOKUP(TRIM(P295),Metallic_Radius_Table!A:A,Metallic_Radius_Table!B:B))</f>
        <v>1.41</v>
      </c>
      <c r="R295" s="0" t="str">
        <f aca="false">IF(G295&gt;=1,   "Ferromagnetic / Ferrimagnetic",   IF(G295&gt;=0.05,      "Paramagnetic / Weakly magnetic",      "Antiferromagnetic / Diamagnetic"))</f>
        <v>Ferromagnetic / Ferrimagnetic</v>
      </c>
      <c r="U295" s="0" t="str">
        <f aca="false">IF(G295&gt;=1,
   "FM → PM (Curie-type)",
   IF(G295&lt;0.05,
      "AFM → PM (Néel-type)",
      "No long-range magnetic transition"))</f>
        <v>FM → PM (Curie-type)</v>
      </c>
    </row>
    <row r="296" customFormat="false" ht="14.25" hidden="false" customHeight="false" outlineLevel="0" collapsed="false">
      <c r="A296" s="0" t="s">
        <v>679</v>
      </c>
      <c r="B296" s="0" t="s">
        <v>680</v>
      </c>
      <c r="C296" s="0" t="s">
        <v>681</v>
      </c>
      <c r="D296" s="0" t="n">
        <v>-2.2560041515181</v>
      </c>
      <c r="E296" s="0" t="n">
        <v>0.157698813729165</v>
      </c>
      <c r="F296" s="0" t="n">
        <v>1.1158</v>
      </c>
      <c r="G296" s="0" t="n">
        <v>3.0004421</v>
      </c>
      <c r="H296" s="0" t="s">
        <v>111</v>
      </c>
      <c r="I296" s="2" t="b">
        <f aca="false">TRUE()</f>
        <v>1</v>
      </c>
      <c r="J296" s="0" t="str">
        <f aca="false">IF(AND(CODE(MID(B296,2,1))&gt;=97,CODE(MID(B296,2,1))&lt;=122),LEFT(B296,2),LEFT(B296,1))</f>
        <v>K</v>
      </c>
      <c r="K296" s="0" t="n">
        <f aca="false">IF(J296="","",_xlfn.XLOOKUP(TRIM(J296),Metallic_Radius_Table!A:A,Metallic_Radius_Table!B:B))</f>
        <v>2.27</v>
      </c>
      <c r="L296" s="0" t="str">
        <f aca="false">IF(ISNUMBER(SEARCH("La",B296)),"La",
 IF(ISNUMBER(SEARCH("Nd",B296)),"Nd",
 IF(ISNUMBER(SEARCH("Eu",B296)),"Eu",
 IF(ISNUMBER(SEARCH("Gd",B296)),"Gd",""))))</f>
        <v/>
      </c>
      <c r="M296" s="0" t="str">
        <f aca="false">IF(L296="","",_xlfn.XLOOKUP(TRIM(L296),Metallic_Radius_Table!A:A,Metallic_Radius_Table!B:B))</f>
        <v/>
      </c>
      <c r="N296" s="0" t="str">
        <f aca="false">TRIM(LEFT(C296,FIND(",",C296)-1))</f>
        <v>Mn</v>
      </c>
      <c r="O296" s="3" t="n">
        <f aca="false">IF(N296="","",_xlfn.XLOOKUP(TRIM(N296),Metallic_Radius_Table!A:A,Metallic_Radius_Table!B:B))</f>
        <v>1.27</v>
      </c>
      <c r="P296" s="0" t="str">
        <f aca="false">TRIM(MID(C296,FIND(",",C296)+1,5))</f>
        <v>Zr</v>
      </c>
      <c r="Q296" s="0" t="n">
        <f aca="false">IF(P296="","",_xlfn.XLOOKUP(TRIM(P296),Metallic_Radius_Table!A:A,Metallic_Radius_Table!B:B))</f>
        <v>1.6</v>
      </c>
      <c r="R296" s="0" t="str">
        <f aca="false">IF(G296&gt;=1,   "Ferromagnetic / Ferrimagnetic",   IF(G296&gt;=0.05,      "Paramagnetic / Weakly magnetic",      "Antiferromagnetic / Diamagnetic"))</f>
        <v>Ferromagnetic / Ferrimagnetic</v>
      </c>
      <c r="U296" s="0" t="str">
        <f aca="false">IF(G296&gt;=1,
   "FM → PM (Curie-type)",
   IF(G296&lt;0.05,
      "AFM → PM (Néel-type)",
      "No long-range magnetic transition"))</f>
        <v>FM → PM (Curie-type)</v>
      </c>
    </row>
    <row r="297" customFormat="false" ht="14.25" hidden="false" customHeight="false" outlineLevel="0" collapsed="false">
      <c r="A297" s="0" t="s">
        <v>682</v>
      </c>
      <c r="B297" s="0" t="s">
        <v>683</v>
      </c>
      <c r="C297" s="0" t="s">
        <v>128</v>
      </c>
      <c r="D297" s="0" t="n">
        <v>-2.652124309725</v>
      </c>
      <c r="E297" s="0" t="n">
        <v>0.191646059499999</v>
      </c>
      <c r="F297" s="0" t="n">
        <v>0</v>
      </c>
      <c r="G297" s="4" t="n">
        <v>4.4E-005</v>
      </c>
      <c r="H297" s="0" t="s">
        <v>111</v>
      </c>
      <c r="I297" s="2" t="b">
        <f aca="false">TRUE()</f>
        <v>1</v>
      </c>
      <c r="J297" s="0" t="str">
        <f aca="false">IF(AND(CODE(MID(B297,2,1))&gt;=97,CODE(MID(B297,2,1))&lt;=122),LEFT(B297,2),LEFT(B297,1))</f>
        <v>K</v>
      </c>
      <c r="K297" s="0" t="n">
        <f aca="false">IF(J297="","",_xlfn.XLOOKUP(TRIM(J297),Metallic_Radius_Table!A:A,Metallic_Radius_Table!B:B))</f>
        <v>2.27</v>
      </c>
      <c r="L297" s="0" t="str">
        <f aca="false">IF(ISNUMBER(SEARCH("La",B297)),"La",
 IF(ISNUMBER(SEARCH("Nd",B297)),"Nd",
 IF(ISNUMBER(SEARCH("Eu",B297)),"Eu",
 IF(ISNUMBER(SEARCH("Gd",B297)),"Gd",""))))</f>
        <v/>
      </c>
      <c r="M297" s="0" t="str">
        <f aca="false">IF(L297="","",_xlfn.XLOOKUP(TRIM(L297),Metallic_Radius_Table!A:A,Metallic_Radius_Table!B:B))</f>
        <v/>
      </c>
      <c r="N297" s="0" t="str">
        <f aca="false">TRIM(LEFT(C297,FIND(",",C297)-1))</f>
        <v>Zr</v>
      </c>
      <c r="O297" s="3" t="n">
        <f aca="false">IF(N297="","",_xlfn.XLOOKUP(TRIM(N297),Metallic_Radius_Table!A:A,Metallic_Radius_Table!B:B))</f>
        <v>1.6</v>
      </c>
      <c r="P297" s="0" t="str">
        <f aca="false">TRIM(MID(C297,FIND(",",C297)+1,5))</f>
        <v>Nb</v>
      </c>
      <c r="Q297" s="0" t="n">
        <f aca="false">IF(P297="","",_xlfn.XLOOKUP(TRIM(P297),Metallic_Radius_Table!A:A,Metallic_Radius_Table!B:B))</f>
        <v>1.46</v>
      </c>
      <c r="R297" s="0" t="str">
        <f aca="false">IF(G297&gt;=1,   "Ferromagnetic / Ferrimagnetic",   IF(G297&gt;=0.05,      "Paramagnetic / Weakly magnetic",      "Antiferromagnetic / Diamagnetic"))</f>
        <v>Antiferromagnetic / Diamagnetic</v>
      </c>
      <c r="U297" s="0" t="str">
        <f aca="false">IF(G297&gt;=1,
   "FM → PM (Curie-type)",
   IF(G297&lt;0.05,
      "AFM → PM (Néel-type)",
      "No long-range magnetic transition"))</f>
        <v>AFM → PM (Néel-type)</v>
      </c>
    </row>
    <row r="298" customFormat="false" ht="14.25" hidden="false" customHeight="false" outlineLevel="0" collapsed="false">
      <c r="A298" s="0" t="s">
        <v>684</v>
      </c>
      <c r="B298" s="0" t="s">
        <v>685</v>
      </c>
      <c r="C298" s="0" t="s">
        <v>343</v>
      </c>
      <c r="D298" s="0" t="n">
        <v>-2.5306732215</v>
      </c>
      <c r="E298" s="0" t="n">
        <v>0.049378241692314</v>
      </c>
      <c r="F298" s="0" t="n">
        <v>0.616</v>
      </c>
      <c r="G298" s="0" t="n">
        <v>7.8834963</v>
      </c>
      <c r="H298" s="0" t="s">
        <v>352</v>
      </c>
      <c r="I298" s="2" t="b">
        <f aca="false">TRUE()</f>
        <v>1</v>
      </c>
      <c r="J298" s="0" t="str">
        <f aca="false">IF(AND(CODE(MID(B298,2,1))&gt;=97,CODE(MID(B298,2,1))&lt;=122),LEFT(B298,2),LEFT(B298,1))</f>
        <v>La</v>
      </c>
      <c r="K298" s="0" t="n">
        <f aca="false">IF(J298="","",_xlfn.XLOOKUP(TRIM(J298),Metallic_Radius_Table!A:A,Metallic_Radius_Table!B:B))</f>
        <v>1.87</v>
      </c>
      <c r="L298" s="0" t="str">
        <f aca="false">IF(ISNUMBER(SEARCH("La",B298)),"La",
 IF(ISNUMBER(SEARCH("Nd",B298)),"Nd",
 IF(ISNUMBER(SEARCH("Eu",B298)),"Eu",
 IF(ISNUMBER(SEARCH("Gd",B298)),"Gd",""))))</f>
        <v>La</v>
      </c>
      <c r="M298" s="0" t="n">
        <f aca="false">IF(L298="","",_xlfn.XLOOKUP(TRIM(L298),Metallic_Radius_Table!A:A,Metallic_Radius_Table!B:B))</f>
        <v>1.87</v>
      </c>
      <c r="N298" s="0" t="str">
        <f aca="false">TRIM(LEFT(C298,FIND(",",C298)-1))</f>
        <v>Co</v>
      </c>
      <c r="O298" s="3" t="n">
        <f aca="false">IF(N298="","",_xlfn.XLOOKUP(TRIM(N298),Metallic_Radius_Table!A:A,Metallic_Radius_Table!B:B))</f>
        <v>1.25</v>
      </c>
      <c r="P298" s="0" t="str">
        <f aca="false">TRIM(MID(C298,FIND(",",C298)+1,5))</f>
        <v>Ir</v>
      </c>
      <c r="Q298" s="0" t="n">
        <f aca="false">IF(P298="","",_xlfn.XLOOKUP(TRIM(P298),Metallic_Radius_Table!A:A,Metallic_Radius_Table!B:B))</f>
        <v>1.36</v>
      </c>
      <c r="R298" s="0" t="str">
        <f aca="false">IF(G298&gt;=1,   "Ferromagnetic / Ferrimagnetic",   IF(G298&gt;=0.05,      "Paramagnetic / Weakly magnetic",      "Antiferromagnetic / Diamagnetic"))</f>
        <v>Ferromagnetic / Ferrimagnetic</v>
      </c>
      <c r="U298" s="0" t="str">
        <f aca="false">IF(G298&gt;=1,
   "FM → PM (Curie-type)",
   IF(G298&lt;0.05,
      "AFM → PM (Néel-type)",
      "No long-range magnetic transition"))</f>
        <v>FM → PM (Curie-type)</v>
      </c>
    </row>
    <row r="299" customFormat="false" ht="14.25" hidden="false" customHeight="false" outlineLevel="0" collapsed="false">
      <c r="A299" s="0" t="s">
        <v>686</v>
      </c>
      <c r="B299" s="0" t="s">
        <v>687</v>
      </c>
      <c r="C299" s="0" t="s">
        <v>688</v>
      </c>
      <c r="D299" s="0" t="n">
        <v>-2.572758715</v>
      </c>
      <c r="E299" s="0" t="n">
        <v>0</v>
      </c>
      <c r="F299" s="0" t="n">
        <v>0.997199999999999</v>
      </c>
      <c r="G299" s="0" t="n">
        <v>2.99835519999999</v>
      </c>
      <c r="H299" s="0" t="s">
        <v>689</v>
      </c>
      <c r="I299" s="2" t="b">
        <f aca="false">TRUE()</f>
        <v>1</v>
      </c>
      <c r="J299" s="0" t="str">
        <f aca="false">IF(AND(CODE(MID(B299,2,1))&gt;=97,CODE(MID(B299,2,1))&lt;=122),LEFT(B299,2),LEFT(B299,1))</f>
        <v>La</v>
      </c>
      <c r="K299" s="0" t="n">
        <f aca="false">IF(J299="","",_xlfn.XLOOKUP(TRIM(J299),Metallic_Radius_Table!A:A,Metallic_Radius_Table!B:B))</f>
        <v>1.87</v>
      </c>
      <c r="L299" s="0" t="str">
        <f aca="false">IF(ISNUMBER(SEARCH("La",B299)),"La",
 IF(ISNUMBER(SEARCH("Nd",B299)),"Nd",
 IF(ISNUMBER(SEARCH("Eu",B299)),"Eu",
 IF(ISNUMBER(SEARCH("Gd",B299)),"Gd",""))))</f>
        <v>La</v>
      </c>
      <c r="M299" s="0" t="n">
        <f aca="false">IF(L299="","",_xlfn.XLOOKUP(TRIM(L299),Metallic_Radius_Table!A:A,Metallic_Radius_Table!B:B))</f>
        <v>1.87</v>
      </c>
      <c r="N299" s="0" t="str">
        <f aca="false">TRIM(LEFT(C299,FIND(",",C299)-1))</f>
        <v>Co</v>
      </c>
      <c r="O299" s="3" t="n">
        <f aca="false">IF(N299="","",_xlfn.XLOOKUP(TRIM(N299),Metallic_Radius_Table!A:A,Metallic_Radius_Table!B:B))</f>
        <v>1.25</v>
      </c>
      <c r="P299" s="0" t="str">
        <f aca="false">TRIM(MID(C299,FIND(",",C299)+1,5))</f>
        <v>Ni</v>
      </c>
      <c r="Q299" s="0" t="n">
        <f aca="false">IF(P299="","",_xlfn.XLOOKUP(TRIM(P299),Metallic_Radius_Table!A:A,Metallic_Radius_Table!B:B))</f>
        <v>1.24</v>
      </c>
      <c r="R299" s="0" t="str">
        <f aca="false">IF(G299&gt;=1,   "Ferromagnetic / Ferrimagnetic",   IF(G299&gt;=0.05,      "Paramagnetic / Weakly magnetic",      "Antiferromagnetic / Diamagnetic"))</f>
        <v>Ferromagnetic / Ferrimagnetic</v>
      </c>
      <c r="U299" s="0" t="str">
        <f aca="false">IF(G299&gt;=1,
   "FM → PM (Curie-type)",
   IF(G299&lt;0.05,
      "AFM → PM (Néel-type)",
      "No long-range magnetic transition"))</f>
        <v>FM → PM (Curie-type)</v>
      </c>
    </row>
    <row r="300" customFormat="false" ht="14.25" hidden="false" customHeight="false" outlineLevel="0" collapsed="false">
      <c r="A300" s="0" t="s">
        <v>690</v>
      </c>
      <c r="B300" s="0" t="s">
        <v>687</v>
      </c>
      <c r="C300" s="0" t="s">
        <v>688</v>
      </c>
      <c r="D300" s="0" t="n">
        <v>-2.53207557849999</v>
      </c>
      <c r="E300" s="0" t="n">
        <v>0.0406831365</v>
      </c>
      <c r="F300" s="0" t="n">
        <v>0.039</v>
      </c>
      <c r="G300" s="0" t="n">
        <v>6.0130982</v>
      </c>
      <c r="H300" s="0" t="s">
        <v>54</v>
      </c>
      <c r="I300" s="2" t="b">
        <f aca="false">TRUE()</f>
        <v>1</v>
      </c>
      <c r="J300" s="0" t="str">
        <f aca="false">IF(AND(CODE(MID(B300,2,1))&gt;=97,CODE(MID(B300,2,1))&lt;=122),LEFT(B300,2),LEFT(B300,1))</f>
        <v>La</v>
      </c>
      <c r="K300" s="0" t="n">
        <f aca="false">IF(J300="","",_xlfn.XLOOKUP(TRIM(J300),Metallic_Radius_Table!A:A,Metallic_Radius_Table!B:B))</f>
        <v>1.87</v>
      </c>
      <c r="L300" s="0" t="str">
        <f aca="false">IF(ISNUMBER(SEARCH("La",B300)),"La",
 IF(ISNUMBER(SEARCH("Nd",B300)),"Nd",
 IF(ISNUMBER(SEARCH("Eu",B300)),"Eu",
 IF(ISNUMBER(SEARCH("Gd",B300)),"Gd",""))))</f>
        <v>La</v>
      </c>
      <c r="M300" s="0" t="n">
        <f aca="false">IF(L300="","",_xlfn.XLOOKUP(TRIM(L300),Metallic_Radius_Table!A:A,Metallic_Radius_Table!B:B))</f>
        <v>1.87</v>
      </c>
      <c r="N300" s="0" t="str">
        <f aca="false">TRIM(LEFT(C300,FIND(",",C300)-1))</f>
        <v>Co</v>
      </c>
      <c r="O300" s="3" t="n">
        <f aca="false">IF(N300="","",_xlfn.XLOOKUP(TRIM(N300),Metallic_Radius_Table!A:A,Metallic_Radius_Table!B:B))</f>
        <v>1.25</v>
      </c>
      <c r="P300" s="0" t="str">
        <f aca="false">TRIM(MID(C300,FIND(",",C300)+1,5))</f>
        <v>Ni</v>
      </c>
      <c r="Q300" s="0" t="n">
        <f aca="false">IF(P300="","",_xlfn.XLOOKUP(TRIM(P300),Metallic_Radius_Table!A:A,Metallic_Radius_Table!B:B))</f>
        <v>1.24</v>
      </c>
      <c r="R300" s="0" t="str">
        <f aca="false">IF(G300&gt;=1,   "Ferromagnetic / Ferrimagnetic",   IF(G300&gt;=0.05,      "Paramagnetic / Weakly magnetic",      "Antiferromagnetic / Diamagnetic"))</f>
        <v>Ferromagnetic / Ferrimagnetic</v>
      </c>
      <c r="U300" s="0" t="str">
        <f aca="false">IF(G300&gt;=1,
   "FM → PM (Curie-type)",
   IF(G300&lt;0.05,
      "AFM → PM (Néel-type)",
      "No long-range magnetic transition"))</f>
        <v>FM → PM (Curie-type)</v>
      </c>
    </row>
    <row r="301" customFormat="false" ht="14.25" hidden="false" customHeight="false" outlineLevel="0" collapsed="false">
      <c r="A301" s="0" t="s">
        <v>691</v>
      </c>
      <c r="B301" s="0" t="s">
        <v>692</v>
      </c>
      <c r="C301" s="0" t="s">
        <v>31</v>
      </c>
      <c r="D301" s="0" t="n">
        <v>-2.647642955</v>
      </c>
      <c r="E301" s="0" t="n">
        <v>0</v>
      </c>
      <c r="F301" s="0" t="n">
        <v>0</v>
      </c>
      <c r="G301" s="0" t="n">
        <v>2.0001214</v>
      </c>
      <c r="H301" s="0" t="s">
        <v>352</v>
      </c>
      <c r="I301" s="2" t="b">
        <f aca="false">TRUE()</f>
        <v>1</v>
      </c>
      <c r="J301" s="0" t="str">
        <f aca="false">IF(AND(CODE(MID(B301,2,1))&gt;=97,CODE(MID(B301,2,1))&lt;=122),LEFT(B301,2),LEFT(B301,1))</f>
        <v>La</v>
      </c>
      <c r="K301" s="0" t="n">
        <f aca="false">IF(J301="","",_xlfn.XLOOKUP(TRIM(J301),Metallic_Radius_Table!A:A,Metallic_Radius_Table!B:B))</f>
        <v>1.87</v>
      </c>
      <c r="L301" s="0" t="str">
        <f aca="false">IF(ISNUMBER(SEARCH("La",B301)),"La",
 IF(ISNUMBER(SEARCH("Nd",B301)),"Nd",
 IF(ISNUMBER(SEARCH("Eu",B301)),"Eu",
 IF(ISNUMBER(SEARCH("Gd",B301)),"Gd",""))))</f>
        <v>La</v>
      </c>
      <c r="M301" s="0" t="n">
        <f aca="false">IF(L301="","",_xlfn.XLOOKUP(TRIM(L301),Metallic_Radius_Table!A:A,Metallic_Radius_Table!B:B))</f>
        <v>1.87</v>
      </c>
      <c r="N301" s="0" t="str">
        <f aca="false">TRIM(LEFT(C301,FIND(",",C301)-1))</f>
        <v>Co</v>
      </c>
      <c r="O301" s="3" t="n">
        <f aca="false">IF(N301="","",_xlfn.XLOOKUP(TRIM(N301),Metallic_Radius_Table!A:A,Metallic_Radius_Table!B:B))</f>
        <v>1.25</v>
      </c>
      <c r="P301" s="0" t="str">
        <f aca="false">TRIM(MID(C301,FIND(",",C301)+1,5))</f>
        <v>Ru</v>
      </c>
      <c r="Q301" s="0" t="n">
        <f aca="false">IF(P301="","",_xlfn.XLOOKUP(TRIM(P301),Metallic_Radius_Table!A:A,Metallic_Radius_Table!B:B))</f>
        <v>1.34</v>
      </c>
      <c r="R301" s="0" t="str">
        <f aca="false">IF(G301&gt;=1,   "Ferromagnetic / Ferrimagnetic",   IF(G301&gt;=0.05,      "Paramagnetic / Weakly magnetic",      "Antiferromagnetic / Diamagnetic"))</f>
        <v>Ferromagnetic / Ferrimagnetic</v>
      </c>
      <c r="U301" s="0" t="str">
        <f aca="false">IF(G301&gt;=1,
   "FM → PM (Curie-type)",
   IF(G301&lt;0.05,
      "AFM → PM (Néel-type)",
      "No long-range magnetic transition"))</f>
        <v>FM → PM (Curie-type)</v>
      </c>
    </row>
    <row r="302" customFormat="false" ht="14.25" hidden="false" customHeight="false" outlineLevel="0" collapsed="false">
      <c r="A302" s="0" t="s">
        <v>693</v>
      </c>
      <c r="B302" s="0" t="s">
        <v>694</v>
      </c>
      <c r="C302" s="0" t="s">
        <v>143</v>
      </c>
      <c r="D302" s="0" t="n">
        <v>-3.01985942249999</v>
      </c>
      <c r="E302" s="0" t="n">
        <v>0.004915151750001</v>
      </c>
      <c r="F302" s="0" t="n">
        <v>0.3097</v>
      </c>
      <c r="G302" s="0" t="n">
        <v>15.9996153</v>
      </c>
      <c r="H302" s="0" t="s">
        <v>352</v>
      </c>
      <c r="I302" s="2" t="b">
        <f aca="false">TRUE()</f>
        <v>1</v>
      </c>
      <c r="J302" s="0" t="str">
        <f aca="false">IF(AND(CODE(MID(B302,2,1))&gt;=97,CODE(MID(B302,2,1))&lt;=122),LEFT(B302,2),LEFT(B302,1))</f>
        <v>La</v>
      </c>
      <c r="K302" s="0" t="n">
        <f aca="false">IF(J302="","",_xlfn.XLOOKUP(TRIM(J302),Metallic_Radius_Table!A:A,Metallic_Radius_Table!B:B))</f>
        <v>1.87</v>
      </c>
      <c r="L302" s="0" t="str">
        <f aca="false">IF(ISNUMBER(SEARCH("La",B302)),"La",
 IF(ISNUMBER(SEARCH("Nd",B302)),"Nd",
 IF(ISNUMBER(SEARCH("Eu",B302)),"Eu",
 IF(ISNUMBER(SEARCH("Gd",B302)),"Gd",""))))</f>
        <v>La</v>
      </c>
      <c r="M302" s="0" t="n">
        <f aca="false">IF(L302="","",_xlfn.XLOOKUP(TRIM(L302),Metallic_Radius_Table!A:A,Metallic_Radius_Table!B:B))</f>
        <v>1.87</v>
      </c>
      <c r="N302" s="0" t="str">
        <f aca="false">TRIM(LEFT(C302,FIND(",",C302)-1))</f>
        <v>Cr</v>
      </c>
      <c r="O302" s="3" t="n">
        <f aca="false">IF(N302="","",_xlfn.XLOOKUP(TRIM(N302),Metallic_Radius_Table!A:A,Metallic_Radius_Table!B:B))</f>
        <v>1.28</v>
      </c>
      <c r="P302" s="0" t="str">
        <f aca="false">TRIM(MID(C302,FIND(",",C302)+1,5))</f>
        <v>Fe</v>
      </c>
      <c r="Q302" s="0" t="n">
        <f aca="false">IF(P302="","",_xlfn.XLOOKUP(TRIM(P302),Metallic_Radius_Table!A:A,Metallic_Radius_Table!B:B))</f>
        <v>1.26</v>
      </c>
      <c r="R302" s="0" t="str">
        <f aca="false">IF(G302&gt;=1,   "Ferromagnetic / Ferrimagnetic",   IF(G302&gt;=0.05,      "Paramagnetic / Weakly magnetic",      "Antiferromagnetic / Diamagnetic"))</f>
        <v>Ferromagnetic / Ferrimagnetic</v>
      </c>
      <c r="U302" s="0" t="str">
        <f aca="false">IF(G302&gt;=1,
   "FM → PM (Curie-type)",
   IF(G302&lt;0.05,
      "AFM → PM (Néel-type)",
      "No long-range magnetic transition"))</f>
        <v>FM → PM (Curie-type)</v>
      </c>
    </row>
    <row r="303" customFormat="false" ht="14.25" hidden="false" customHeight="false" outlineLevel="0" collapsed="false">
      <c r="A303" s="0" t="s">
        <v>695</v>
      </c>
      <c r="B303" s="0" t="s">
        <v>696</v>
      </c>
      <c r="C303" s="0" t="s">
        <v>39</v>
      </c>
      <c r="D303" s="0" t="n">
        <v>-3.006532805</v>
      </c>
      <c r="E303" s="0" t="n">
        <v>0.031685538249998</v>
      </c>
      <c r="F303" s="0" t="n">
        <v>0</v>
      </c>
      <c r="G303" s="0" t="n">
        <v>0.000219099999999</v>
      </c>
      <c r="H303" s="0" t="s">
        <v>459</v>
      </c>
      <c r="I303" s="2" t="b">
        <f aca="false">TRUE()</f>
        <v>1</v>
      </c>
      <c r="J303" s="0" t="str">
        <f aca="false">IF(AND(CODE(MID(B303,2,1))&gt;=97,CODE(MID(B303,2,1))&lt;=122),LEFT(B303,2),LEFT(B303,1))</f>
        <v>La</v>
      </c>
      <c r="K303" s="0" t="n">
        <f aca="false">IF(J303="","",_xlfn.XLOOKUP(TRIM(J303),Metallic_Radius_Table!A:A,Metallic_Radius_Table!B:B))</f>
        <v>1.87</v>
      </c>
      <c r="L303" s="0" t="str">
        <f aca="false">IF(ISNUMBER(SEARCH("La",B303)),"La",
 IF(ISNUMBER(SEARCH("Nd",B303)),"Nd",
 IF(ISNUMBER(SEARCH("Eu",B303)),"Eu",
 IF(ISNUMBER(SEARCH("Gd",B303)),"Gd",""))))</f>
        <v>La</v>
      </c>
      <c r="M303" s="0" t="n">
        <f aca="false">IF(L303="","",_xlfn.XLOOKUP(TRIM(L303),Metallic_Radius_Table!A:A,Metallic_Radius_Table!B:B))</f>
        <v>1.87</v>
      </c>
      <c r="N303" s="0" t="str">
        <f aca="false">TRIM(LEFT(C303,FIND(",",C303)-1))</f>
        <v>Cr</v>
      </c>
      <c r="O303" s="3" t="n">
        <f aca="false">IF(N303="","",_xlfn.XLOOKUP(TRIM(N303),Metallic_Radius_Table!A:A,Metallic_Radius_Table!B:B))</f>
        <v>1.28</v>
      </c>
      <c r="P303" s="0" t="str">
        <f aca="false">TRIM(MID(C303,FIND(",",C303)+1,5))</f>
        <v>Mo</v>
      </c>
      <c r="Q303" s="0" t="n">
        <f aca="false">IF(P303="","",_xlfn.XLOOKUP(TRIM(P303),Metallic_Radius_Table!A:A,Metallic_Radius_Table!B:B))</f>
        <v>1.39</v>
      </c>
      <c r="R303" s="0" t="str">
        <f aca="false">IF(G303&gt;=1,   "Ferromagnetic / Ferrimagnetic",   IF(G303&gt;=0.05,      "Paramagnetic / Weakly magnetic",      "Antiferromagnetic / Diamagnetic"))</f>
        <v>Antiferromagnetic / Diamagnetic</v>
      </c>
      <c r="U303" s="0" t="str">
        <f aca="false">IF(G303&gt;=1,
   "FM → PM (Curie-type)",
   IF(G303&lt;0.05,
      "AFM → PM (Néel-type)",
      "No long-range magnetic transition"))</f>
        <v>AFM → PM (Néel-type)</v>
      </c>
    </row>
    <row r="304" customFormat="false" ht="14.25" hidden="false" customHeight="false" outlineLevel="0" collapsed="false">
      <c r="A304" s="0" t="s">
        <v>697</v>
      </c>
      <c r="B304" s="0" t="s">
        <v>698</v>
      </c>
      <c r="C304" s="0" t="s">
        <v>699</v>
      </c>
      <c r="D304" s="0" t="n">
        <v>-2.69981866</v>
      </c>
      <c r="E304" s="0" t="n">
        <v>0.026607310999999</v>
      </c>
      <c r="F304" s="0" t="n">
        <v>0</v>
      </c>
      <c r="G304" s="0" t="n">
        <v>13.9983729</v>
      </c>
      <c r="H304" s="0" t="s">
        <v>352</v>
      </c>
      <c r="I304" s="2" t="b">
        <f aca="false">TRUE()</f>
        <v>1</v>
      </c>
      <c r="J304" s="0" t="str">
        <f aca="false">IF(AND(CODE(MID(B304,2,1))&gt;=97,CODE(MID(B304,2,1))&lt;=122),LEFT(B304,2),LEFT(B304,1))</f>
        <v>La</v>
      </c>
      <c r="K304" s="0" t="n">
        <f aca="false">IF(J304="","",_xlfn.XLOOKUP(TRIM(J304),Metallic_Radius_Table!A:A,Metallic_Radius_Table!B:B))</f>
        <v>1.87</v>
      </c>
      <c r="L304" s="0" t="str">
        <f aca="false">IF(ISNUMBER(SEARCH("La",B304)),"La",
 IF(ISNUMBER(SEARCH("Nd",B304)),"Nd",
 IF(ISNUMBER(SEARCH("Eu",B304)),"Eu",
 IF(ISNUMBER(SEARCH("Gd",B304)),"Gd",""))))</f>
        <v>La</v>
      </c>
      <c r="M304" s="0" t="n">
        <f aca="false">IF(L304="","",_xlfn.XLOOKUP(TRIM(L304),Metallic_Radius_Table!A:A,Metallic_Radius_Table!B:B))</f>
        <v>1.87</v>
      </c>
      <c r="N304" s="0" t="str">
        <f aca="false">TRIM(LEFT(C304,FIND(",",C304)-1))</f>
        <v>Co</v>
      </c>
      <c r="O304" s="3" t="n">
        <f aca="false">IF(N304="","",_xlfn.XLOOKUP(TRIM(N304),Metallic_Radius_Table!A:A,Metallic_Radius_Table!B:B))</f>
        <v>1.25</v>
      </c>
      <c r="P304" s="0" t="str">
        <f aca="false">TRIM(MID(C304,FIND(",",C304)+1,5))</f>
        <v>Fe</v>
      </c>
      <c r="Q304" s="0" t="n">
        <f aca="false">IF(P304="","",_xlfn.XLOOKUP(TRIM(P304),Metallic_Radius_Table!A:A,Metallic_Radius_Table!B:B))</f>
        <v>1.26</v>
      </c>
      <c r="R304" s="0" t="str">
        <f aca="false">IF(G304&gt;=1,   "Ferromagnetic / Ferrimagnetic",   IF(G304&gt;=0.05,      "Paramagnetic / Weakly magnetic",      "Antiferromagnetic / Diamagnetic"))</f>
        <v>Ferromagnetic / Ferrimagnetic</v>
      </c>
      <c r="U304" s="0" t="str">
        <f aca="false">IF(G304&gt;=1,
   "FM → PM (Curie-type)",
   IF(G304&lt;0.05,
      "AFM → PM (Néel-type)",
      "No long-range magnetic transition"))</f>
        <v>FM → PM (Curie-type)</v>
      </c>
    </row>
    <row r="305" customFormat="false" ht="14.25" hidden="false" customHeight="false" outlineLevel="0" collapsed="false">
      <c r="A305" s="0" t="s">
        <v>700</v>
      </c>
      <c r="B305" s="0" t="s">
        <v>701</v>
      </c>
      <c r="C305" s="0" t="s">
        <v>276</v>
      </c>
      <c r="D305" s="0" t="n">
        <v>-2.662331269</v>
      </c>
      <c r="E305" s="0" t="n">
        <v>0.000323995249999</v>
      </c>
      <c r="F305" s="0" t="n">
        <v>0</v>
      </c>
      <c r="G305" s="0" t="n">
        <v>12.0033732</v>
      </c>
      <c r="H305" s="0" t="s">
        <v>352</v>
      </c>
      <c r="I305" s="2" t="b">
        <f aca="false">TRUE()</f>
        <v>1</v>
      </c>
      <c r="J305" s="0" t="str">
        <f aca="false">IF(AND(CODE(MID(B305,2,1))&gt;=97,CODE(MID(B305,2,1))&lt;=122),LEFT(B305,2),LEFT(B305,1))</f>
        <v>La</v>
      </c>
      <c r="K305" s="0" t="n">
        <f aca="false">IF(J305="","",_xlfn.XLOOKUP(TRIM(J305),Metallic_Radius_Table!A:A,Metallic_Radius_Table!B:B))</f>
        <v>1.87</v>
      </c>
      <c r="L305" s="0" t="str">
        <f aca="false">IF(ISNUMBER(SEARCH("La",B305)),"La",
 IF(ISNUMBER(SEARCH("Nd",B305)),"Nd",
 IF(ISNUMBER(SEARCH("Eu",B305)),"Eu",
 IF(ISNUMBER(SEARCH("Gd",B305)),"Gd",""))))</f>
        <v>La</v>
      </c>
      <c r="M305" s="0" t="n">
        <f aca="false">IF(L305="","",_xlfn.XLOOKUP(TRIM(L305),Metallic_Radius_Table!A:A,Metallic_Radius_Table!B:B))</f>
        <v>1.87</v>
      </c>
      <c r="N305" s="0" t="str">
        <f aca="false">TRIM(LEFT(C305,FIND(",",C305)-1))</f>
        <v>Fe</v>
      </c>
      <c r="O305" s="3" t="n">
        <f aca="false">IF(N305="","",_xlfn.XLOOKUP(TRIM(N305),Metallic_Radius_Table!A:A,Metallic_Radius_Table!B:B))</f>
        <v>1.26</v>
      </c>
      <c r="P305" s="0" t="str">
        <f aca="false">TRIM(MID(C305,FIND(",",C305)+1,5))</f>
        <v>Ni</v>
      </c>
      <c r="Q305" s="0" t="n">
        <f aca="false">IF(P305="","",_xlfn.XLOOKUP(TRIM(P305),Metallic_Radius_Table!A:A,Metallic_Radius_Table!B:B))</f>
        <v>1.24</v>
      </c>
      <c r="R305" s="0" t="str">
        <f aca="false">IF(G305&gt;=1,   "Ferromagnetic / Ferrimagnetic",   IF(G305&gt;=0.05,      "Paramagnetic / Weakly magnetic",      "Antiferromagnetic / Diamagnetic"))</f>
        <v>Ferromagnetic / Ferrimagnetic</v>
      </c>
      <c r="U305" s="0" t="str">
        <f aca="false">IF(G305&gt;=1,
   "FM → PM (Curie-type)",
   IF(G305&lt;0.05,
      "AFM → PM (Néel-type)",
      "No long-range magnetic transition"))</f>
        <v>FM → PM (Curie-type)</v>
      </c>
    </row>
    <row r="306" customFormat="false" ht="14.25" hidden="false" customHeight="false" outlineLevel="0" collapsed="false">
      <c r="A306" s="0" t="s">
        <v>702</v>
      </c>
      <c r="B306" s="0" t="s">
        <v>703</v>
      </c>
      <c r="C306" s="0" t="s">
        <v>704</v>
      </c>
      <c r="D306" s="0" t="n">
        <v>-3.24780299799999</v>
      </c>
      <c r="E306" s="0" t="n">
        <v>0.187993649374995</v>
      </c>
      <c r="F306" s="0" t="n">
        <v>2.04339999999999</v>
      </c>
      <c r="G306" s="0" t="n">
        <v>1.9991191</v>
      </c>
      <c r="H306" s="0" t="s">
        <v>22</v>
      </c>
      <c r="I306" s="2" t="b">
        <f aca="false">TRUE()</f>
        <v>1</v>
      </c>
      <c r="J306" s="0" t="str">
        <f aca="false">IF(AND(CODE(MID(B306,2,1))&gt;=97,CODE(MID(B306,2,1))&lt;=122),LEFT(B306,2),LEFT(B306,1))</f>
        <v>La</v>
      </c>
      <c r="K306" s="0" t="n">
        <f aca="false">IF(J306="","",_xlfn.XLOOKUP(TRIM(J306),Metallic_Radius_Table!A:A,Metallic_Radius_Table!B:B))</f>
        <v>1.87</v>
      </c>
      <c r="L306" s="0" t="str">
        <f aca="false">IF(ISNUMBER(SEARCH("La",B306)),"La",
 IF(ISNUMBER(SEARCH("Nd",B306)),"Nd",
 IF(ISNUMBER(SEARCH("Eu",B306)),"Eu",
 IF(ISNUMBER(SEARCH("Gd",B306)),"Gd",""))))</f>
        <v>La</v>
      </c>
      <c r="M306" s="0" t="n">
        <f aca="false">IF(L306="","",_xlfn.XLOOKUP(TRIM(L306),Metallic_Radius_Table!A:A,Metallic_Radius_Table!B:B))</f>
        <v>1.87</v>
      </c>
      <c r="N306" s="0" t="str">
        <f aca="false">TRIM(LEFT(C306,FIND(",",C306)-1))</f>
        <v>Hf</v>
      </c>
      <c r="O306" s="3" t="n">
        <f aca="false">IF(N306="","",_xlfn.XLOOKUP(TRIM(N306),Metallic_Radius_Table!A:A,Metallic_Radius_Table!B:B))</f>
        <v>1.59</v>
      </c>
      <c r="P306" s="0" t="str">
        <f aca="false">TRIM(MID(C306,FIND(",",C306)+1,5))</f>
        <v>Ni</v>
      </c>
      <c r="Q306" s="0" t="n">
        <f aca="false">IF(P306="","",_xlfn.XLOOKUP(TRIM(P306),Metallic_Radius_Table!A:A,Metallic_Radius_Table!B:B))</f>
        <v>1.24</v>
      </c>
      <c r="R306" s="0" t="str">
        <f aca="false">IF(G306&gt;=1,   "Ferromagnetic / Ferrimagnetic",   IF(G306&gt;=0.05,      "Paramagnetic / Weakly magnetic",      "Antiferromagnetic / Diamagnetic"))</f>
        <v>Ferromagnetic / Ferrimagnetic</v>
      </c>
      <c r="U306" s="0" t="str">
        <f aca="false">IF(G306&gt;=1,
   "FM → PM (Curie-type)",
   IF(G306&lt;0.05,
      "AFM → PM (Néel-type)",
      "No long-range magnetic transition"))</f>
        <v>FM → PM (Curie-type)</v>
      </c>
    </row>
    <row r="307" customFormat="false" ht="14.25" hidden="false" customHeight="false" outlineLevel="0" collapsed="false">
      <c r="A307" s="0" t="s">
        <v>705</v>
      </c>
      <c r="B307" s="0" t="s">
        <v>706</v>
      </c>
      <c r="C307" s="0" t="s">
        <v>498</v>
      </c>
      <c r="D307" s="0" t="n">
        <v>-3.2242439782931</v>
      </c>
      <c r="E307" s="0" t="n">
        <v>0</v>
      </c>
      <c r="F307" s="0" t="n">
        <v>0</v>
      </c>
      <c r="G307" s="0" t="n">
        <v>0.080058499999999</v>
      </c>
      <c r="H307" s="0" t="s">
        <v>352</v>
      </c>
      <c r="I307" s="2" t="b">
        <f aca="false">TRUE()</f>
        <v>1</v>
      </c>
      <c r="J307" s="0" t="str">
        <f aca="false">IF(AND(CODE(MID(B307,2,1))&gt;=97,CODE(MID(B307,2,1))&lt;=122),LEFT(B307,2),LEFT(B307,1))</f>
        <v>La</v>
      </c>
      <c r="K307" s="0" t="n">
        <f aca="false">IF(J307="","",_xlfn.XLOOKUP(TRIM(J307),Metallic_Radius_Table!A:A,Metallic_Radius_Table!B:B))</f>
        <v>1.87</v>
      </c>
      <c r="L307" s="0" t="str">
        <f aca="false">IF(ISNUMBER(SEARCH("La",B307)),"La",
 IF(ISNUMBER(SEARCH("Nd",B307)),"Nd",
 IF(ISNUMBER(SEARCH("Eu",B307)),"Eu",
 IF(ISNUMBER(SEARCH("Gd",B307)),"Gd",""))))</f>
        <v>La</v>
      </c>
      <c r="M307" s="0" t="n">
        <f aca="false">IF(L307="","",_xlfn.XLOOKUP(TRIM(L307),Metallic_Radius_Table!A:A,Metallic_Radius_Table!B:B))</f>
        <v>1.87</v>
      </c>
      <c r="N307" s="0" t="str">
        <f aca="false">TRIM(LEFT(C307,FIND(",",C307)-1))</f>
        <v>Co</v>
      </c>
      <c r="O307" s="3" t="n">
        <f aca="false">IF(N307="","",_xlfn.XLOOKUP(TRIM(N307),Metallic_Radius_Table!A:A,Metallic_Radius_Table!B:B))</f>
        <v>1.25</v>
      </c>
      <c r="P307" s="0" t="str">
        <f aca="false">TRIM(MID(C307,FIND(",",C307)+1,5))</f>
        <v>Mn</v>
      </c>
      <c r="Q307" s="0" t="n">
        <f aca="false">IF(P307="","",_xlfn.XLOOKUP(TRIM(P307),Metallic_Radius_Table!A:A,Metallic_Radius_Table!B:B))</f>
        <v>1.27</v>
      </c>
      <c r="R307" s="0" t="str">
        <f aca="false">IF(G307&gt;=1,   "Ferromagnetic / Ferrimagnetic",   IF(G307&gt;=0.05,      "Paramagnetic / Weakly magnetic",      "Antiferromagnetic / Diamagnetic"))</f>
        <v>Paramagnetic / Weakly magnetic</v>
      </c>
      <c r="U307" s="0" t="str">
        <f aca="false">IF(G307&gt;=1,
   "FM → PM (Curie-type)",
   IF(G307&lt;0.05,
      "AFM → PM (Néel-type)",
      "No long-range magnetic transition"))</f>
        <v>No long-range magnetic transition</v>
      </c>
    </row>
    <row r="308" customFormat="false" ht="14.25" hidden="false" customHeight="false" outlineLevel="0" collapsed="false">
      <c r="A308" s="0" t="s">
        <v>707</v>
      </c>
      <c r="B308" s="0" t="s">
        <v>708</v>
      </c>
      <c r="C308" s="0" t="s">
        <v>283</v>
      </c>
      <c r="D308" s="0" t="n">
        <v>-3.0808412422931</v>
      </c>
      <c r="E308" s="0" t="n">
        <v>0.085102830261913</v>
      </c>
      <c r="F308" s="0" t="n">
        <v>0.762399999999999</v>
      </c>
      <c r="G308" s="0" t="n">
        <v>0.0004551</v>
      </c>
      <c r="H308" s="0" t="s">
        <v>352</v>
      </c>
      <c r="I308" s="2" t="b">
        <f aca="false">TRUE()</f>
        <v>1</v>
      </c>
      <c r="J308" s="0" t="str">
        <f aca="false">IF(AND(CODE(MID(B308,2,1))&gt;=97,CODE(MID(B308,2,1))&lt;=122),LEFT(B308,2),LEFT(B308,1))</f>
        <v>La</v>
      </c>
      <c r="K308" s="0" t="n">
        <f aca="false">IF(J308="","",_xlfn.XLOOKUP(TRIM(J308),Metallic_Radius_Table!A:A,Metallic_Radius_Table!B:B))</f>
        <v>1.87</v>
      </c>
      <c r="L308" s="0" t="str">
        <f aca="false">IF(ISNUMBER(SEARCH("La",B308)),"La",
 IF(ISNUMBER(SEARCH("Nd",B308)),"Nd",
 IF(ISNUMBER(SEARCH("Eu",B308)),"Eu",
 IF(ISNUMBER(SEARCH("Gd",B308)),"Gd",""))))</f>
        <v>La</v>
      </c>
      <c r="M308" s="0" t="n">
        <f aca="false">IF(L308="","",_xlfn.XLOOKUP(TRIM(L308),Metallic_Radius_Table!A:A,Metallic_Radius_Table!B:B))</f>
        <v>1.87</v>
      </c>
      <c r="N308" s="0" t="str">
        <f aca="false">TRIM(LEFT(C308,FIND(",",C308)-1))</f>
        <v>Cr</v>
      </c>
      <c r="O308" s="3" t="n">
        <f aca="false">IF(N308="","",_xlfn.XLOOKUP(TRIM(N308),Metallic_Radius_Table!A:A,Metallic_Radius_Table!B:B))</f>
        <v>1.28</v>
      </c>
      <c r="P308" s="0" t="str">
        <f aca="false">TRIM(MID(C308,FIND(",",C308)+1,5))</f>
        <v>Mn</v>
      </c>
      <c r="Q308" s="0" t="n">
        <f aca="false">IF(P308="","",_xlfn.XLOOKUP(TRIM(P308),Metallic_Radius_Table!A:A,Metallic_Radius_Table!B:B))</f>
        <v>1.27</v>
      </c>
      <c r="R308" s="0" t="str">
        <f aca="false">IF(G308&gt;=1,   "Ferromagnetic / Ferrimagnetic",   IF(G308&gt;=0.05,      "Paramagnetic / Weakly magnetic",      "Antiferromagnetic / Diamagnetic"))</f>
        <v>Antiferromagnetic / Diamagnetic</v>
      </c>
      <c r="U308" s="0" t="str">
        <f aca="false">IF(G308&gt;=1,
   "FM → PM (Curie-type)",
   IF(G308&lt;0.05,
      "AFM → PM (Néel-type)",
      "No long-range magnetic transition"))</f>
        <v>AFM → PM (Néel-type)</v>
      </c>
    </row>
    <row r="309" customFormat="false" ht="14.25" hidden="false" customHeight="false" outlineLevel="0" collapsed="false">
      <c r="A309" s="0" t="s">
        <v>709</v>
      </c>
      <c r="B309" s="0" t="s">
        <v>708</v>
      </c>
      <c r="C309" s="0" t="s">
        <v>283</v>
      </c>
      <c r="D309" s="0" t="n">
        <v>-3.0835154882931</v>
      </c>
      <c r="E309" s="0" t="n">
        <v>0.082428584261911</v>
      </c>
      <c r="F309" s="0" t="n">
        <v>0.9733</v>
      </c>
      <c r="G309" s="0" t="n">
        <v>14.0021624</v>
      </c>
      <c r="H309" s="0" t="s">
        <v>54</v>
      </c>
      <c r="I309" s="2" t="b">
        <f aca="false">TRUE()</f>
        <v>1</v>
      </c>
      <c r="J309" s="0" t="str">
        <f aca="false">IF(AND(CODE(MID(B309,2,1))&gt;=97,CODE(MID(B309,2,1))&lt;=122),LEFT(B309,2),LEFT(B309,1))</f>
        <v>La</v>
      </c>
      <c r="K309" s="0" t="n">
        <f aca="false">IF(J309="","",_xlfn.XLOOKUP(TRIM(J309),Metallic_Radius_Table!A:A,Metallic_Radius_Table!B:B))</f>
        <v>1.87</v>
      </c>
      <c r="L309" s="0" t="str">
        <f aca="false">IF(ISNUMBER(SEARCH("La",B309)),"La",
 IF(ISNUMBER(SEARCH("Nd",B309)),"Nd",
 IF(ISNUMBER(SEARCH("Eu",B309)),"Eu",
 IF(ISNUMBER(SEARCH("Gd",B309)),"Gd",""))))</f>
        <v>La</v>
      </c>
      <c r="M309" s="0" t="n">
        <f aca="false">IF(L309="","",_xlfn.XLOOKUP(TRIM(L309),Metallic_Radius_Table!A:A,Metallic_Radius_Table!B:B))</f>
        <v>1.87</v>
      </c>
      <c r="N309" s="0" t="str">
        <f aca="false">TRIM(LEFT(C309,FIND(",",C309)-1))</f>
        <v>Cr</v>
      </c>
      <c r="O309" s="3" t="n">
        <f aca="false">IF(N309="","",_xlfn.XLOOKUP(TRIM(N309),Metallic_Radius_Table!A:A,Metallic_Radius_Table!B:B))</f>
        <v>1.28</v>
      </c>
      <c r="P309" s="0" t="str">
        <f aca="false">TRIM(MID(C309,FIND(",",C309)+1,5))</f>
        <v>Mn</v>
      </c>
      <c r="Q309" s="0" t="n">
        <f aca="false">IF(P309="","",_xlfn.XLOOKUP(TRIM(P309),Metallic_Radius_Table!A:A,Metallic_Radius_Table!B:B))</f>
        <v>1.27</v>
      </c>
      <c r="R309" s="0" t="str">
        <f aca="false">IF(G309&gt;=1,   "Ferromagnetic / Ferrimagnetic",   IF(G309&gt;=0.05,      "Paramagnetic / Weakly magnetic",      "Antiferromagnetic / Diamagnetic"))</f>
        <v>Ferromagnetic / Ferrimagnetic</v>
      </c>
      <c r="U309" s="0" t="str">
        <f aca="false">IF(G309&gt;=1,
   "FM → PM (Curie-type)",
   IF(G309&lt;0.05,
      "AFM → PM (Néel-type)",
      "No long-range magnetic transition"))</f>
        <v>FM → PM (Curie-type)</v>
      </c>
    </row>
    <row r="310" customFormat="false" ht="14.25" hidden="false" customHeight="false" outlineLevel="0" collapsed="false">
      <c r="A310" s="0" t="s">
        <v>710</v>
      </c>
      <c r="B310" s="0" t="s">
        <v>711</v>
      </c>
      <c r="C310" s="0" t="s">
        <v>712</v>
      </c>
      <c r="D310" s="0" t="n">
        <v>-2.7739587797931</v>
      </c>
      <c r="E310" s="0" t="n">
        <v>0.097283240666651</v>
      </c>
      <c r="F310" s="0" t="n">
        <v>1.27969999999999</v>
      </c>
      <c r="G310" s="0" t="n">
        <v>4.9934596</v>
      </c>
      <c r="H310" s="0" t="s">
        <v>22</v>
      </c>
      <c r="I310" s="2" t="b">
        <f aca="false">TRUE()</f>
        <v>1</v>
      </c>
      <c r="J310" s="0" t="str">
        <f aca="false">IF(AND(CODE(MID(B310,2,1))&gt;=97,CODE(MID(B310,2,1))&lt;=122),LEFT(B310,2),LEFT(B310,1))</f>
        <v>La</v>
      </c>
      <c r="K310" s="0" t="n">
        <f aca="false">IF(J310="","",_xlfn.XLOOKUP(TRIM(J310),Metallic_Radius_Table!A:A,Metallic_Radius_Table!B:B))</f>
        <v>1.87</v>
      </c>
      <c r="L310" s="0" t="str">
        <f aca="false">IF(ISNUMBER(SEARCH("La",B310)),"La",
 IF(ISNUMBER(SEARCH("Nd",B310)),"Nd",
 IF(ISNUMBER(SEARCH("Eu",B310)),"Eu",
 IF(ISNUMBER(SEARCH("Gd",B310)),"Gd",""))))</f>
        <v>La</v>
      </c>
      <c r="M310" s="0" t="n">
        <f aca="false">IF(L310="","",_xlfn.XLOOKUP(TRIM(L310),Metallic_Radius_Table!A:A,Metallic_Radius_Table!B:B))</f>
        <v>1.87</v>
      </c>
      <c r="N310" s="0" t="str">
        <f aca="false">TRIM(LEFT(C310,FIND(",",C310)-1))</f>
        <v>Ni</v>
      </c>
      <c r="O310" s="3" t="n">
        <f aca="false">IF(N310="","",_xlfn.XLOOKUP(TRIM(N310),Metallic_Radius_Table!A:A,Metallic_Radius_Table!B:B))</f>
        <v>1.24</v>
      </c>
      <c r="P310" s="0" t="str">
        <f aca="false">TRIM(MID(C310,FIND(",",C310)+1,5))</f>
        <v>Mn</v>
      </c>
      <c r="Q310" s="0" t="n">
        <f aca="false">IF(P310="","",_xlfn.XLOOKUP(TRIM(P310),Metallic_Radius_Table!A:A,Metallic_Radius_Table!B:B))</f>
        <v>1.27</v>
      </c>
      <c r="R310" s="0" t="str">
        <f aca="false">IF(G310&gt;=1,   "Ferromagnetic / Ferrimagnetic",   IF(G310&gt;=0.05,      "Paramagnetic / Weakly magnetic",      "Antiferromagnetic / Diamagnetic"))</f>
        <v>Ferromagnetic / Ferrimagnetic</v>
      </c>
      <c r="U310" s="0" t="str">
        <f aca="false">IF(G310&gt;=1,
   "FM → PM (Curie-type)",
   IF(G310&lt;0.05,
      "AFM → PM (Néel-type)",
      "No long-range magnetic transition"))</f>
        <v>FM → PM (Curie-type)</v>
      </c>
    </row>
    <row r="311" customFormat="false" ht="14.25" hidden="false" customHeight="false" outlineLevel="0" collapsed="false">
      <c r="A311" s="0" t="s">
        <v>713</v>
      </c>
      <c r="B311" s="0" t="s">
        <v>711</v>
      </c>
      <c r="C311" s="0" t="s">
        <v>712</v>
      </c>
      <c r="D311" s="0" t="n">
        <v>-2.8285053492931</v>
      </c>
      <c r="E311" s="0" t="n">
        <v>0.04273667116665</v>
      </c>
      <c r="F311" s="0" t="n">
        <v>0</v>
      </c>
      <c r="G311" s="0" t="n">
        <v>9.9998687</v>
      </c>
      <c r="H311" s="0" t="s">
        <v>352</v>
      </c>
      <c r="I311" s="2" t="b">
        <f aca="false">TRUE()</f>
        <v>1</v>
      </c>
      <c r="J311" s="0" t="str">
        <f aca="false">IF(AND(CODE(MID(B311,2,1))&gt;=97,CODE(MID(B311,2,1))&lt;=122),LEFT(B311,2),LEFT(B311,1))</f>
        <v>La</v>
      </c>
      <c r="K311" s="0" t="n">
        <f aca="false">IF(J311="","",_xlfn.XLOOKUP(TRIM(J311),Metallic_Radius_Table!A:A,Metallic_Radius_Table!B:B))</f>
        <v>1.87</v>
      </c>
      <c r="L311" s="0" t="str">
        <f aca="false">IF(ISNUMBER(SEARCH("La",B311)),"La",
 IF(ISNUMBER(SEARCH("Nd",B311)),"Nd",
 IF(ISNUMBER(SEARCH("Eu",B311)),"Eu",
 IF(ISNUMBER(SEARCH("Gd",B311)),"Gd",""))))</f>
        <v>La</v>
      </c>
      <c r="M311" s="0" t="n">
        <f aca="false">IF(L311="","",_xlfn.XLOOKUP(TRIM(L311),Metallic_Radius_Table!A:A,Metallic_Radius_Table!B:B))</f>
        <v>1.87</v>
      </c>
      <c r="N311" s="0" t="str">
        <f aca="false">TRIM(LEFT(C311,FIND(",",C311)-1))</f>
        <v>Ni</v>
      </c>
      <c r="O311" s="3" t="n">
        <f aca="false">IF(N311="","",_xlfn.XLOOKUP(TRIM(N311),Metallic_Radius_Table!A:A,Metallic_Radius_Table!B:B))</f>
        <v>1.24</v>
      </c>
      <c r="P311" s="0" t="str">
        <f aca="false">TRIM(MID(C311,FIND(",",C311)+1,5))</f>
        <v>Mn</v>
      </c>
      <c r="Q311" s="0" t="n">
        <f aca="false">IF(P311="","",_xlfn.XLOOKUP(TRIM(P311),Metallic_Radius_Table!A:A,Metallic_Radius_Table!B:B))</f>
        <v>1.27</v>
      </c>
      <c r="R311" s="0" t="str">
        <f aca="false">IF(G311&gt;=1,   "Ferromagnetic / Ferrimagnetic",   IF(G311&gt;=0.05,      "Paramagnetic / Weakly magnetic",      "Antiferromagnetic / Diamagnetic"))</f>
        <v>Ferromagnetic / Ferrimagnetic</v>
      </c>
      <c r="U311" s="0" t="str">
        <f aca="false">IF(G311&gt;=1,
   "FM → PM (Curie-type)",
   IF(G311&lt;0.05,
      "AFM → PM (Néel-type)",
      "No long-range magnetic transition"))</f>
        <v>FM → PM (Curie-type)</v>
      </c>
    </row>
    <row r="312" customFormat="false" ht="14.25" hidden="false" customHeight="false" outlineLevel="0" collapsed="false">
      <c r="A312" s="0" t="s">
        <v>714</v>
      </c>
      <c r="B312" s="0" t="s">
        <v>711</v>
      </c>
      <c r="C312" s="0" t="s">
        <v>712</v>
      </c>
      <c r="D312" s="0" t="n">
        <v>-2.8235890007931</v>
      </c>
      <c r="E312" s="0" t="n">
        <v>0.047653019666652</v>
      </c>
      <c r="F312" s="0" t="n">
        <v>1.58049999999999</v>
      </c>
      <c r="G312" s="0" t="n">
        <v>5.0000052</v>
      </c>
      <c r="H312" s="0" t="s">
        <v>689</v>
      </c>
      <c r="I312" s="2" t="b">
        <f aca="false">TRUE()</f>
        <v>1</v>
      </c>
      <c r="J312" s="0" t="str">
        <f aca="false">IF(AND(CODE(MID(B312,2,1))&gt;=97,CODE(MID(B312,2,1))&lt;=122),LEFT(B312,2),LEFT(B312,1))</f>
        <v>La</v>
      </c>
      <c r="K312" s="0" t="n">
        <f aca="false">IF(J312="","",_xlfn.XLOOKUP(TRIM(J312),Metallic_Radius_Table!A:A,Metallic_Radius_Table!B:B))</f>
        <v>1.87</v>
      </c>
      <c r="L312" s="0" t="str">
        <f aca="false">IF(ISNUMBER(SEARCH("La",B312)),"La",
 IF(ISNUMBER(SEARCH("Nd",B312)),"Nd",
 IF(ISNUMBER(SEARCH("Eu",B312)),"Eu",
 IF(ISNUMBER(SEARCH("Gd",B312)),"Gd",""))))</f>
        <v>La</v>
      </c>
      <c r="M312" s="0" t="n">
        <f aca="false">IF(L312="","",_xlfn.XLOOKUP(TRIM(L312),Metallic_Radius_Table!A:A,Metallic_Radius_Table!B:B))</f>
        <v>1.87</v>
      </c>
      <c r="N312" s="0" t="str">
        <f aca="false">TRIM(LEFT(C312,FIND(",",C312)-1))</f>
        <v>Ni</v>
      </c>
      <c r="O312" s="3" t="n">
        <f aca="false">IF(N312="","",_xlfn.XLOOKUP(TRIM(N312),Metallic_Radius_Table!A:A,Metallic_Radius_Table!B:B))</f>
        <v>1.24</v>
      </c>
      <c r="P312" s="0" t="str">
        <f aca="false">TRIM(MID(C312,FIND(",",C312)+1,5))</f>
        <v>Mn</v>
      </c>
      <c r="Q312" s="0" t="n">
        <f aca="false">IF(P312="","",_xlfn.XLOOKUP(TRIM(P312),Metallic_Radius_Table!A:A,Metallic_Radius_Table!B:B))</f>
        <v>1.27</v>
      </c>
      <c r="R312" s="0" t="str">
        <f aca="false">IF(G312&gt;=1,   "Ferromagnetic / Ferrimagnetic",   IF(G312&gt;=0.05,      "Paramagnetic / Weakly magnetic",      "Antiferromagnetic / Diamagnetic"))</f>
        <v>Ferromagnetic / Ferrimagnetic</v>
      </c>
      <c r="U312" s="0" t="str">
        <f aca="false">IF(G312&gt;=1,
   "FM → PM (Curie-type)",
   IF(G312&lt;0.05,
      "AFM → PM (Néel-type)",
      "No long-range magnetic transition"))</f>
        <v>FM → PM (Curie-type)</v>
      </c>
    </row>
    <row r="313" customFormat="false" ht="14.25" hidden="false" customHeight="false" outlineLevel="0" collapsed="false">
      <c r="A313" s="0" t="s">
        <v>715</v>
      </c>
      <c r="B313" s="0" t="s">
        <v>716</v>
      </c>
      <c r="C313" s="0" t="s">
        <v>717</v>
      </c>
      <c r="D313" s="0" t="n">
        <v>-2.7626428297931</v>
      </c>
      <c r="E313" s="0" t="n">
        <v>0.113879322616666</v>
      </c>
      <c r="F313" s="0" t="n">
        <v>0.377699999999999</v>
      </c>
      <c r="G313" s="0" t="n">
        <v>0.0027654</v>
      </c>
      <c r="H313" s="0" t="s">
        <v>352</v>
      </c>
      <c r="I313" s="2" t="b">
        <f aca="false">TRUE()</f>
        <v>1</v>
      </c>
      <c r="J313" s="0" t="str">
        <f aca="false">IF(AND(CODE(MID(B313,2,1))&gt;=97,CODE(MID(B313,2,1))&lt;=122),LEFT(B313,2),LEFT(B313,1))</f>
        <v>La</v>
      </c>
      <c r="K313" s="0" t="n">
        <f aca="false">IF(J313="","",_xlfn.XLOOKUP(TRIM(J313),Metallic_Radius_Table!A:A,Metallic_Radius_Table!B:B))</f>
        <v>1.87</v>
      </c>
      <c r="L313" s="0" t="str">
        <f aca="false">IF(ISNUMBER(SEARCH("La",B313)),"La",
 IF(ISNUMBER(SEARCH("Nd",B313)),"Nd",
 IF(ISNUMBER(SEARCH("Eu",B313)),"Eu",
 IF(ISNUMBER(SEARCH("Gd",B313)),"Gd",""))))</f>
        <v>La</v>
      </c>
      <c r="M313" s="0" t="n">
        <f aca="false">IF(L313="","",_xlfn.XLOOKUP(TRIM(L313),Metallic_Radius_Table!A:A,Metallic_Radius_Table!B:B))</f>
        <v>1.87</v>
      </c>
      <c r="N313" s="0" t="str">
        <f aca="false">TRIM(LEFT(C313,FIND(",",C313)-1))</f>
        <v>Rh</v>
      </c>
      <c r="O313" s="3" t="n">
        <f aca="false">IF(N313="","",_xlfn.XLOOKUP(TRIM(N313),Metallic_Radius_Table!A:A,Metallic_Radius_Table!B:B))</f>
        <v>1.34</v>
      </c>
      <c r="P313" s="0" t="str">
        <f aca="false">TRIM(MID(C313,FIND(",",C313)+1,5))</f>
        <v>Mn</v>
      </c>
      <c r="Q313" s="0" t="n">
        <f aca="false">IF(P313="","",_xlfn.XLOOKUP(TRIM(P313),Metallic_Radius_Table!A:A,Metallic_Radius_Table!B:B))</f>
        <v>1.27</v>
      </c>
      <c r="R313" s="0" t="str">
        <f aca="false">IF(G313&gt;=1,   "Ferromagnetic / Ferrimagnetic",   IF(G313&gt;=0.05,      "Paramagnetic / Weakly magnetic",      "Antiferromagnetic / Diamagnetic"))</f>
        <v>Antiferromagnetic / Diamagnetic</v>
      </c>
      <c r="U313" s="0" t="str">
        <f aca="false">IF(G313&gt;=1,
   "FM → PM (Curie-type)",
   IF(G313&lt;0.05,
      "AFM → PM (Néel-type)",
      "No long-range magnetic transition"))</f>
        <v>AFM → PM (Néel-type)</v>
      </c>
    </row>
    <row r="314" customFormat="false" ht="14.25" hidden="false" customHeight="false" outlineLevel="0" collapsed="false">
      <c r="A314" s="0" t="s">
        <v>718</v>
      </c>
      <c r="B314" s="0" t="s">
        <v>719</v>
      </c>
      <c r="C314" s="0" t="s">
        <v>76</v>
      </c>
      <c r="D314" s="0" t="n">
        <v>-2.7770962212931</v>
      </c>
      <c r="E314" s="0" t="n">
        <v>0.125961894916656</v>
      </c>
      <c r="F314" s="0" t="n">
        <v>0</v>
      </c>
      <c r="G314" s="0" t="n">
        <v>9.9909971</v>
      </c>
      <c r="H314" s="0" t="s">
        <v>352</v>
      </c>
      <c r="I314" s="2" t="b">
        <f aca="false">TRUE()</f>
        <v>1</v>
      </c>
      <c r="J314" s="0" t="str">
        <f aca="false">IF(AND(CODE(MID(B314,2,1))&gt;=97,CODE(MID(B314,2,1))&lt;=122),LEFT(B314,2),LEFT(B314,1))</f>
        <v>La</v>
      </c>
      <c r="K314" s="0" t="n">
        <f aca="false">IF(J314="","",_xlfn.XLOOKUP(TRIM(J314),Metallic_Radius_Table!A:A,Metallic_Radius_Table!B:B))</f>
        <v>1.87</v>
      </c>
      <c r="L314" s="0" t="str">
        <f aca="false">IF(ISNUMBER(SEARCH("La",B314)),"La",
 IF(ISNUMBER(SEARCH("Nd",B314)),"Nd",
 IF(ISNUMBER(SEARCH("Eu",B314)),"Eu",
 IF(ISNUMBER(SEARCH("Gd",B314)),"Gd",""))))</f>
        <v>La</v>
      </c>
      <c r="M314" s="0" t="n">
        <f aca="false">IF(L314="","",_xlfn.XLOOKUP(TRIM(L314),Metallic_Radius_Table!A:A,Metallic_Radius_Table!B:B))</f>
        <v>1.87</v>
      </c>
      <c r="N314" s="0" t="str">
        <f aca="false">TRIM(LEFT(C314,FIND(",",C314)-1))</f>
        <v>Mn</v>
      </c>
      <c r="O314" s="3" t="n">
        <f aca="false">IF(N314="","",_xlfn.XLOOKUP(TRIM(N314),Metallic_Radius_Table!A:A,Metallic_Radius_Table!B:B))</f>
        <v>1.27</v>
      </c>
      <c r="P314" s="0" t="str">
        <f aca="false">TRIM(MID(C314,FIND(",",C314)+1,5))</f>
        <v>Ru</v>
      </c>
      <c r="Q314" s="0" t="n">
        <f aca="false">IF(P314="","",_xlfn.XLOOKUP(TRIM(P314),Metallic_Radius_Table!A:A,Metallic_Radius_Table!B:B))</f>
        <v>1.34</v>
      </c>
      <c r="R314" s="0" t="str">
        <f aca="false">IF(G314&gt;=1,   "Ferromagnetic / Ferrimagnetic",   IF(G314&gt;=0.05,      "Paramagnetic / Weakly magnetic",      "Antiferromagnetic / Diamagnetic"))</f>
        <v>Ferromagnetic / Ferrimagnetic</v>
      </c>
      <c r="U314" s="0" t="str">
        <f aca="false">IF(G314&gt;=1,
   "FM → PM (Curie-type)",
   IF(G314&lt;0.05,
      "AFM → PM (Néel-type)",
      "No long-range magnetic transition"))</f>
        <v>FM → PM (Curie-type)</v>
      </c>
    </row>
    <row r="315" customFormat="false" ht="14.25" hidden="false" customHeight="false" outlineLevel="0" collapsed="false">
      <c r="A315" s="0" t="s">
        <v>720</v>
      </c>
      <c r="B315" s="0" t="s">
        <v>721</v>
      </c>
      <c r="C315" s="0" t="s">
        <v>722</v>
      </c>
      <c r="D315" s="0" t="n">
        <v>-3.1588377562931</v>
      </c>
      <c r="E315" s="0" t="n">
        <v>0.048445869511915</v>
      </c>
      <c r="F315" s="0" t="n">
        <v>0</v>
      </c>
      <c r="G315" s="0" t="n">
        <v>11.9999606</v>
      </c>
      <c r="H315" s="0" t="s">
        <v>352</v>
      </c>
      <c r="I315" s="2" t="b">
        <f aca="false">TRUE()</f>
        <v>1</v>
      </c>
      <c r="J315" s="0" t="str">
        <f aca="false">IF(AND(CODE(MID(B315,2,1))&gt;=97,CODE(MID(B315,2,1))&lt;=122),LEFT(B315,2),LEFT(B315,1))</f>
        <v>La</v>
      </c>
      <c r="K315" s="0" t="n">
        <f aca="false">IF(J315="","",_xlfn.XLOOKUP(TRIM(J315),Metallic_Radius_Table!A:A,Metallic_Radius_Table!B:B))</f>
        <v>1.87</v>
      </c>
      <c r="L315" s="0" t="str">
        <f aca="false">IF(ISNUMBER(SEARCH("La",B315)),"La",
 IF(ISNUMBER(SEARCH("Nd",B315)),"Nd",
 IF(ISNUMBER(SEARCH("Eu",B315)),"Eu",
 IF(ISNUMBER(SEARCH("Gd",B315)),"Gd",""))))</f>
        <v>La</v>
      </c>
      <c r="M315" s="0" t="n">
        <f aca="false">IF(L315="","",_xlfn.XLOOKUP(TRIM(L315),Metallic_Radius_Table!A:A,Metallic_Radius_Table!B:B))</f>
        <v>1.87</v>
      </c>
      <c r="N315" s="0" t="str">
        <f aca="false">TRIM(LEFT(C315,FIND(",",C315)-1))</f>
        <v>Mn</v>
      </c>
      <c r="O315" s="3" t="n">
        <f aca="false">IF(N315="","",_xlfn.XLOOKUP(TRIM(N315),Metallic_Radius_Table!A:A,Metallic_Radius_Table!B:B))</f>
        <v>1.27</v>
      </c>
      <c r="P315" s="0" t="str">
        <f aca="false">TRIM(MID(C315,FIND(",",C315)+1,5))</f>
        <v>V</v>
      </c>
      <c r="Q315" s="0" t="n">
        <f aca="false">IF(P315="","",_xlfn.XLOOKUP(TRIM(P315),Metallic_Radius_Table!A:A,Metallic_Radius_Table!B:B))</f>
        <v>1.34</v>
      </c>
      <c r="R315" s="0" t="str">
        <f aca="false">IF(G315&gt;=1,   "Ferromagnetic / Ferrimagnetic",   IF(G315&gt;=0.05,      "Paramagnetic / Weakly magnetic",      "Antiferromagnetic / Diamagnetic"))</f>
        <v>Ferromagnetic / Ferrimagnetic</v>
      </c>
      <c r="U315" s="0" t="str">
        <f aca="false">IF(G315&gt;=1,
   "FM → PM (Curie-type)",
   IF(G315&lt;0.05,
      "AFM → PM (Néel-type)",
      "No long-range magnetic transition"))</f>
        <v>FM → PM (Curie-type)</v>
      </c>
    </row>
    <row r="316" customFormat="false" ht="14.25" hidden="false" customHeight="false" outlineLevel="0" collapsed="false">
      <c r="A316" s="0" t="s">
        <v>723</v>
      </c>
      <c r="B316" s="0" t="s">
        <v>724</v>
      </c>
      <c r="C316" s="0" t="s">
        <v>85</v>
      </c>
      <c r="D316" s="0" t="n">
        <v>-3.13233857599999</v>
      </c>
      <c r="E316" s="0" t="n">
        <v>0.189042763333343</v>
      </c>
      <c r="F316" s="0" t="n">
        <v>0</v>
      </c>
      <c r="G316" s="0" t="n">
        <v>2.9978981</v>
      </c>
      <c r="H316" s="0" t="s">
        <v>459</v>
      </c>
      <c r="I316" s="2" t="b">
        <f aca="false">TRUE()</f>
        <v>1</v>
      </c>
      <c r="J316" s="0" t="str">
        <f aca="false">IF(AND(CODE(MID(B316,2,1))&gt;=97,CODE(MID(B316,2,1))&lt;=122),LEFT(B316,2),LEFT(B316,1))</f>
        <v>La</v>
      </c>
      <c r="K316" s="0" t="n">
        <f aca="false">IF(J316="","",_xlfn.XLOOKUP(TRIM(J316),Metallic_Radius_Table!A:A,Metallic_Radius_Table!B:B))</f>
        <v>1.87</v>
      </c>
      <c r="L316" s="0" t="str">
        <f aca="false">IF(ISNUMBER(SEARCH("La",B316)),"La",
 IF(ISNUMBER(SEARCH("Nd",B316)),"Nd",
 IF(ISNUMBER(SEARCH("Eu",B316)),"Eu",
 IF(ISNUMBER(SEARCH("Gd",B316)),"Gd",""))))</f>
        <v>La</v>
      </c>
      <c r="M316" s="0" t="n">
        <f aca="false">IF(L316="","",_xlfn.XLOOKUP(TRIM(L316),Metallic_Radius_Table!A:A,Metallic_Radius_Table!B:B))</f>
        <v>1.87</v>
      </c>
      <c r="N316" s="0" t="str">
        <f aca="false">TRIM(LEFT(C316,FIND(",",C316)-1))</f>
        <v>Cr</v>
      </c>
      <c r="O316" s="3" t="n">
        <f aca="false">IF(N316="","",_xlfn.XLOOKUP(TRIM(N316),Metallic_Radius_Table!A:A,Metallic_Radius_Table!B:B))</f>
        <v>1.28</v>
      </c>
      <c r="P316" s="0" t="str">
        <f aca="false">TRIM(MID(C316,FIND(",",C316)+1,5))</f>
        <v>Nb</v>
      </c>
      <c r="Q316" s="0" t="n">
        <f aca="false">IF(P316="","",_xlfn.XLOOKUP(TRIM(P316),Metallic_Radius_Table!A:A,Metallic_Radius_Table!B:B))</f>
        <v>1.46</v>
      </c>
      <c r="R316" s="0" t="str">
        <f aca="false">IF(G316&gt;=1,   "Ferromagnetic / Ferrimagnetic",   IF(G316&gt;=0.05,      "Paramagnetic / Weakly magnetic",      "Antiferromagnetic / Diamagnetic"))</f>
        <v>Ferromagnetic / Ferrimagnetic</v>
      </c>
      <c r="U316" s="0" t="str">
        <f aca="false">IF(G316&gt;=1,
   "FM → PM (Curie-type)",
   IF(G316&lt;0.05,
      "AFM → PM (Néel-type)",
      "No long-range magnetic transition"))</f>
        <v>FM → PM (Curie-type)</v>
      </c>
    </row>
    <row r="317" customFormat="false" ht="14.25" hidden="false" customHeight="false" outlineLevel="0" collapsed="false">
      <c r="A317" s="0" t="s">
        <v>725</v>
      </c>
      <c r="B317" s="0" t="s">
        <v>726</v>
      </c>
      <c r="C317" s="0" t="s">
        <v>642</v>
      </c>
      <c r="D317" s="0" t="n">
        <v>-3.065186532</v>
      </c>
      <c r="E317" s="0" t="n">
        <v>0.172080328124994</v>
      </c>
      <c r="F317" s="0" t="n">
        <v>0.207600000000001</v>
      </c>
      <c r="G317" s="0" t="n">
        <v>5.9999881</v>
      </c>
      <c r="H317" s="0" t="s">
        <v>352</v>
      </c>
      <c r="I317" s="2" t="b">
        <f aca="false">TRUE()</f>
        <v>1</v>
      </c>
      <c r="J317" s="0" t="str">
        <f aca="false">IF(AND(CODE(MID(B317,2,1))&gt;=97,CODE(MID(B317,2,1))&lt;=122),LEFT(B317,2),LEFT(B317,1))</f>
        <v>La</v>
      </c>
      <c r="K317" s="0" t="n">
        <f aca="false">IF(J317="","",_xlfn.XLOOKUP(TRIM(J317),Metallic_Radius_Table!A:A,Metallic_Radius_Table!B:B))</f>
        <v>1.87</v>
      </c>
      <c r="L317" s="0" t="str">
        <f aca="false">IF(ISNUMBER(SEARCH("La",B317)),"La",
 IF(ISNUMBER(SEARCH("Nd",B317)),"Nd",
 IF(ISNUMBER(SEARCH("Eu",B317)),"Eu",
 IF(ISNUMBER(SEARCH("Gd",B317)),"Gd",""))))</f>
        <v>La</v>
      </c>
      <c r="M317" s="0" t="n">
        <f aca="false">IF(L317="","",_xlfn.XLOOKUP(TRIM(L317),Metallic_Radius_Table!A:A,Metallic_Radius_Table!B:B))</f>
        <v>1.87</v>
      </c>
      <c r="N317" s="0" t="str">
        <f aca="false">TRIM(LEFT(C317,FIND(",",C317)-1))</f>
        <v>Nb</v>
      </c>
      <c r="O317" s="3" t="n">
        <f aca="false">IF(N317="","",_xlfn.XLOOKUP(TRIM(N317),Metallic_Radius_Table!A:A,Metallic_Radius_Table!B:B))</f>
        <v>1.46</v>
      </c>
      <c r="P317" s="0" t="str">
        <f aca="false">TRIM(MID(C317,FIND(",",C317)+1,5))</f>
        <v>Ni</v>
      </c>
      <c r="Q317" s="0" t="n">
        <f aca="false">IF(P317="","",_xlfn.XLOOKUP(TRIM(P317),Metallic_Radius_Table!A:A,Metallic_Radius_Table!B:B))</f>
        <v>1.24</v>
      </c>
      <c r="R317" s="0" t="str">
        <f aca="false">IF(G317&gt;=1,   "Ferromagnetic / Ferrimagnetic",   IF(G317&gt;=0.05,      "Paramagnetic / Weakly magnetic",      "Antiferromagnetic / Diamagnetic"))</f>
        <v>Ferromagnetic / Ferrimagnetic</v>
      </c>
      <c r="U317" s="0" t="str">
        <f aca="false">IF(G317&gt;=1,
   "FM → PM (Curie-type)",
   IF(G317&lt;0.05,
      "AFM → PM (Néel-type)",
      "No long-range magnetic transition"))</f>
        <v>FM → PM (Curie-type)</v>
      </c>
    </row>
    <row r="318" customFormat="false" ht="14.25" hidden="false" customHeight="false" outlineLevel="0" collapsed="false">
      <c r="A318" s="0" t="s">
        <v>727</v>
      </c>
      <c r="B318" s="0" t="s">
        <v>728</v>
      </c>
      <c r="C318" s="0" t="s">
        <v>417</v>
      </c>
      <c r="D318" s="0" t="n">
        <v>-2.56405686849999</v>
      </c>
      <c r="E318" s="0" t="n">
        <v>0.005245425442313</v>
      </c>
      <c r="F318" s="0" t="n">
        <v>0</v>
      </c>
      <c r="G318" s="0" t="n">
        <v>3.9457098</v>
      </c>
      <c r="H318" s="0" t="s">
        <v>634</v>
      </c>
      <c r="I318" s="2" t="b">
        <f aca="false">TRUE()</f>
        <v>1</v>
      </c>
      <c r="J318" s="0" t="str">
        <f aca="false">IF(AND(CODE(MID(B318,2,1))&gt;=97,CODE(MID(B318,2,1))&lt;=122),LEFT(B318,2),LEFT(B318,1))</f>
        <v>La</v>
      </c>
      <c r="K318" s="0" t="n">
        <f aca="false">IF(J318="","",_xlfn.XLOOKUP(TRIM(J318),Metallic_Radius_Table!A:A,Metallic_Radius_Table!B:B))</f>
        <v>1.87</v>
      </c>
      <c r="L318" s="0" t="str">
        <f aca="false">IF(ISNUMBER(SEARCH("La",B318)),"La",
 IF(ISNUMBER(SEARCH("Nd",B318)),"Nd",
 IF(ISNUMBER(SEARCH("Eu",B318)),"Eu",
 IF(ISNUMBER(SEARCH("Gd",B318)),"Gd",""))))</f>
        <v>La</v>
      </c>
      <c r="M318" s="0" t="n">
        <f aca="false">IF(L318="","",_xlfn.XLOOKUP(TRIM(L318),Metallic_Radius_Table!A:A,Metallic_Radius_Table!B:B))</f>
        <v>1.87</v>
      </c>
      <c r="N318" s="0" t="str">
        <f aca="false">TRIM(LEFT(C318,FIND(",",C318)-1))</f>
        <v>Ni</v>
      </c>
      <c r="O318" s="3" t="n">
        <f aca="false">IF(N318="","",_xlfn.XLOOKUP(TRIM(N318),Metallic_Radius_Table!A:A,Metallic_Radius_Table!B:B))</f>
        <v>1.24</v>
      </c>
      <c r="P318" s="0" t="str">
        <f aca="false">TRIM(MID(C318,FIND(",",C318)+1,5))</f>
        <v>Ir</v>
      </c>
      <c r="Q318" s="0" t="n">
        <f aca="false">IF(P318="","",_xlfn.XLOOKUP(TRIM(P318),Metallic_Radius_Table!A:A,Metallic_Radius_Table!B:B))</f>
        <v>1.36</v>
      </c>
      <c r="R318" s="0" t="str">
        <f aca="false">IF(G318&gt;=1,   "Ferromagnetic / Ferrimagnetic",   IF(G318&gt;=0.05,      "Paramagnetic / Weakly magnetic",      "Antiferromagnetic / Diamagnetic"))</f>
        <v>Ferromagnetic / Ferrimagnetic</v>
      </c>
      <c r="U318" s="0" t="str">
        <f aca="false">IF(G318&gt;=1,
   "FM → PM (Curie-type)",
   IF(G318&lt;0.05,
      "AFM → PM (Néel-type)",
      "No long-range magnetic transition"))</f>
        <v>FM → PM (Curie-type)</v>
      </c>
    </row>
    <row r="319" customFormat="false" ht="14.25" hidden="false" customHeight="false" outlineLevel="0" collapsed="false">
      <c r="A319" s="0" t="s">
        <v>729</v>
      </c>
      <c r="B319" s="0" t="s">
        <v>730</v>
      </c>
      <c r="C319" s="0" t="s">
        <v>731</v>
      </c>
      <c r="D319" s="0" t="n">
        <v>-2.5721824465</v>
      </c>
      <c r="E319" s="0" t="n">
        <v>0</v>
      </c>
      <c r="F319" s="0" t="n">
        <v>0</v>
      </c>
      <c r="G319" s="0" t="n">
        <v>4.0075536</v>
      </c>
      <c r="H319" s="0" t="s">
        <v>352</v>
      </c>
      <c r="I319" s="2" t="b">
        <f aca="false">TRUE()</f>
        <v>1</v>
      </c>
      <c r="J319" s="0" t="str">
        <f aca="false">IF(AND(CODE(MID(B319,2,1))&gt;=97,CODE(MID(B319,2,1))&lt;=122),LEFT(B319,2),LEFT(B319,1))</f>
        <v>La</v>
      </c>
      <c r="K319" s="0" t="n">
        <f aca="false">IF(J319="","",_xlfn.XLOOKUP(TRIM(J319),Metallic_Radius_Table!A:A,Metallic_Radius_Table!B:B))</f>
        <v>1.87</v>
      </c>
      <c r="L319" s="0" t="str">
        <f aca="false">IF(ISNUMBER(SEARCH("La",B319)),"La",
 IF(ISNUMBER(SEARCH("Nd",B319)),"Nd",
 IF(ISNUMBER(SEARCH("Eu",B319)),"Eu",
 IF(ISNUMBER(SEARCH("Gd",B319)),"Gd",""))))</f>
        <v>La</v>
      </c>
      <c r="M319" s="0" t="n">
        <f aca="false">IF(L319="","",_xlfn.XLOOKUP(TRIM(L319),Metallic_Radius_Table!A:A,Metallic_Radius_Table!B:B))</f>
        <v>1.87</v>
      </c>
      <c r="N319" s="0" t="str">
        <f aca="false">TRIM(LEFT(C319,FIND(",",C319)-1))</f>
        <v>Ni</v>
      </c>
      <c r="O319" s="3" t="n">
        <f aca="false">IF(N319="","",_xlfn.XLOOKUP(TRIM(N319),Metallic_Radius_Table!A:A,Metallic_Radius_Table!B:B))</f>
        <v>1.24</v>
      </c>
      <c r="P319" s="0" t="str">
        <f aca="false">TRIM(MID(C319,FIND(",",C319)+1,5))</f>
        <v>Rh</v>
      </c>
      <c r="Q319" s="0" t="n">
        <f aca="false">IF(P319="","",_xlfn.XLOOKUP(TRIM(P319),Metallic_Radius_Table!A:A,Metallic_Radius_Table!B:B))</f>
        <v>1.34</v>
      </c>
      <c r="R319" s="0" t="str">
        <f aca="false">IF(G319&gt;=1,   "Ferromagnetic / Ferrimagnetic",   IF(G319&gt;=0.05,      "Paramagnetic / Weakly magnetic",      "Antiferromagnetic / Diamagnetic"))</f>
        <v>Ferromagnetic / Ferrimagnetic</v>
      </c>
      <c r="U319" s="0" t="str">
        <f aca="false">IF(G319&gt;=1,
   "FM → PM (Curie-type)",
   IF(G319&lt;0.05,
      "AFM → PM (Néel-type)",
      "No long-range magnetic transition"))</f>
        <v>FM → PM (Curie-type)</v>
      </c>
    </row>
    <row r="320" customFormat="false" ht="14.25" hidden="false" customHeight="false" outlineLevel="0" collapsed="false">
      <c r="A320" s="0" t="s">
        <v>732</v>
      </c>
      <c r="B320" s="0" t="s">
        <v>733</v>
      </c>
      <c r="C320" s="0" t="s">
        <v>105</v>
      </c>
      <c r="D320" s="0" t="n">
        <v>-2.633363193</v>
      </c>
      <c r="E320" s="0" t="n">
        <v>0</v>
      </c>
      <c r="F320" s="0" t="n">
        <v>0</v>
      </c>
      <c r="G320" s="0" t="n">
        <v>8.001357</v>
      </c>
      <c r="H320" s="0" t="s">
        <v>352</v>
      </c>
      <c r="I320" s="2" t="b">
        <f aca="false">TRUE()</f>
        <v>1</v>
      </c>
      <c r="J320" s="0" t="str">
        <f aca="false">IF(AND(CODE(MID(B320,2,1))&gt;=97,CODE(MID(B320,2,1))&lt;=122),LEFT(B320,2),LEFT(B320,1))</f>
        <v>La</v>
      </c>
      <c r="K320" s="0" t="n">
        <f aca="false">IF(J320="","",_xlfn.XLOOKUP(TRIM(J320),Metallic_Radius_Table!A:A,Metallic_Radius_Table!B:B))</f>
        <v>1.87</v>
      </c>
      <c r="L320" s="0" t="str">
        <f aca="false">IF(ISNUMBER(SEARCH("La",B320)),"La",
 IF(ISNUMBER(SEARCH("Nd",B320)),"Nd",
 IF(ISNUMBER(SEARCH("Eu",B320)),"Eu",
 IF(ISNUMBER(SEARCH("Gd",B320)),"Gd",""))))</f>
        <v>La</v>
      </c>
      <c r="M320" s="0" t="n">
        <f aca="false">IF(L320="","",_xlfn.XLOOKUP(TRIM(L320),Metallic_Radius_Table!A:A,Metallic_Radius_Table!B:B))</f>
        <v>1.87</v>
      </c>
      <c r="N320" s="0" t="str">
        <f aca="false">TRIM(LEFT(C320,FIND(",",C320)-1))</f>
        <v>Ni</v>
      </c>
      <c r="O320" s="3" t="n">
        <f aca="false">IF(N320="","",_xlfn.XLOOKUP(TRIM(N320),Metallic_Radius_Table!A:A,Metallic_Radius_Table!B:B))</f>
        <v>1.24</v>
      </c>
      <c r="P320" s="0" t="str">
        <f aca="false">TRIM(MID(C320,FIND(",",C320)+1,5))</f>
        <v>Ru</v>
      </c>
      <c r="Q320" s="0" t="n">
        <f aca="false">IF(P320="","",_xlfn.XLOOKUP(TRIM(P320),Metallic_Radius_Table!A:A,Metallic_Radius_Table!B:B))</f>
        <v>1.34</v>
      </c>
      <c r="R320" s="0" t="str">
        <f aca="false">IF(G320&gt;=1,   "Ferromagnetic / Ferrimagnetic",   IF(G320&gt;=0.05,      "Paramagnetic / Weakly magnetic",      "Antiferromagnetic / Diamagnetic"))</f>
        <v>Ferromagnetic / Ferrimagnetic</v>
      </c>
      <c r="U320" s="0" t="str">
        <f aca="false">IF(G320&gt;=1,
   "FM → PM (Curie-type)",
   IF(G320&lt;0.05,
      "AFM → PM (Néel-type)",
      "No long-range magnetic transition"))</f>
        <v>FM → PM (Curie-type)</v>
      </c>
    </row>
    <row r="321" customFormat="false" ht="14.25" hidden="false" customHeight="false" outlineLevel="0" collapsed="false">
      <c r="A321" s="0" t="s">
        <v>734</v>
      </c>
      <c r="B321" s="0" t="s">
        <v>735</v>
      </c>
      <c r="C321" s="0" t="s">
        <v>736</v>
      </c>
      <c r="D321" s="0" t="n">
        <v>-2.65439598349999</v>
      </c>
      <c r="E321" s="0" t="n">
        <v>0.092194945999999</v>
      </c>
      <c r="F321" s="0" t="n">
        <v>0</v>
      </c>
      <c r="G321" s="0" t="n">
        <v>5.0011018</v>
      </c>
      <c r="H321" s="0" t="s">
        <v>22</v>
      </c>
      <c r="I321" s="2" t="b">
        <f aca="false">TRUE()</f>
        <v>1</v>
      </c>
      <c r="J321" s="0" t="str">
        <f aca="false">IF(AND(CODE(MID(B321,2,1))&gt;=97,CODE(MID(B321,2,1))&lt;=122),LEFT(B321,2),LEFT(B321,1))</f>
        <v>La</v>
      </c>
      <c r="K321" s="0" t="n">
        <f aca="false">IF(J321="","",_xlfn.XLOOKUP(TRIM(J321),Metallic_Radius_Table!A:A,Metallic_Radius_Table!B:B))</f>
        <v>1.87</v>
      </c>
      <c r="L321" s="0" t="str">
        <f aca="false">IF(ISNUMBER(SEARCH("La",B321)),"La",
 IF(ISNUMBER(SEARCH("Nd",B321)),"Nd",
 IF(ISNUMBER(SEARCH("Eu",B321)),"Eu",
 IF(ISNUMBER(SEARCH("Gd",B321)),"Gd",""))))</f>
        <v>La</v>
      </c>
      <c r="M321" s="0" t="n">
        <f aca="false">IF(L321="","",_xlfn.XLOOKUP(TRIM(L321),Metallic_Radius_Table!A:A,Metallic_Radius_Table!B:B))</f>
        <v>1.87</v>
      </c>
      <c r="N321" s="0" t="str">
        <f aca="false">TRIM(LEFT(C321,FIND(",",C321)-1))</f>
        <v>Ni</v>
      </c>
      <c r="O321" s="3" t="n">
        <f aca="false">IF(N321="","",_xlfn.XLOOKUP(TRIM(N321),Metallic_Radius_Table!A:A,Metallic_Radius_Table!B:B))</f>
        <v>1.24</v>
      </c>
      <c r="P321" s="0" t="str">
        <f aca="false">TRIM(MID(C321,FIND(",",C321)+1,5))</f>
        <v>Tc</v>
      </c>
      <c r="Q321" s="0" t="n">
        <f aca="false">IF(P321="","",_xlfn.XLOOKUP(TRIM(P321),Metallic_Radius_Table!A:A,Metallic_Radius_Table!B:B))</f>
        <v>1.36</v>
      </c>
      <c r="R321" s="0" t="str">
        <f aca="false">IF(G321&gt;=1,   "Ferromagnetic / Ferrimagnetic",   IF(G321&gt;=0.05,      "Paramagnetic / Weakly magnetic",      "Antiferromagnetic / Diamagnetic"))</f>
        <v>Ferromagnetic / Ferrimagnetic</v>
      </c>
      <c r="U321" s="0" t="str">
        <f aca="false">IF(G321&gt;=1,
   "FM → PM (Curie-type)",
   IF(G321&lt;0.05,
      "AFM → PM (Néel-type)",
      "No long-range magnetic transition"))</f>
        <v>FM → PM (Curie-type)</v>
      </c>
    </row>
    <row r="322" customFormat="false" ht="14.25" hidden="false" customHeight="false" outlineLevel="0" collapsed="false">
      <c r="A322" s="0" t="s">
        <v>737</v>
      </c>
      <c r="B322" s="0" t="s">
        <v>738</v>
      </c>
      <c r="C322" s="0" t="s">
        <v>739</v>
      </c>
      <c r="D322" s="0" t="n">
        <v>-3.14011676933333</v>
      </c>
      <c r="E322" s="0" t="n">
        <v>0.197792988499998</v>
      </c>
      <c r="F322" s="0" t="n">
        <v>0</v>
      </c>
      <c r="G322" s="0" t="n">
        <v>2.9973855</v>
      </c>
      <c r="H322" s="0" t="s">
        <v>22</v>
      </c>
      <c r="I322" s="2" t="b">
        <f aca="false">TRUE()</f>
        <v>1</v>
      </c>
      <c r="J322" s="0" t="str">
        <f aca="false">IF(AND(CODE(MID(B322,2,1))&gt;=97,CODE(MID(B322,2,1))&lt;=122),LEFT(B322,2),LEFT(B322,1))</f>
        <v>La</v>
      </c>
      <c r="K322" s="0" t="n">
        <f aca="false">IF(J322="","",_xlfn.XLOOKUP(TRIM(J322),Metallic_Radius_Table!A:A,Metallic_Radius_Table!B:B))</f>
        <v>1.87</v>
      </c>
      <c r="L322" s="0" t="str">
        <f aca="false">IF(ISNUMBER(SEARCH("La",B322)),"La",
 IF(ISNUMBER(SEARCH("Nd",B322)),"Nd",
 IF(ISNUMBER(SEARCH("Eu",B322)),"Eu",
 IF(ISNUMBER(SEARCH("Gd",B322)),"Gd",""))))</f>
        <v>La</v>
      </c>
      <c r="M322" s="0" t="n">
        <f aca="false">IF(L322="","",_xlfn.XLOOKUP(TRIM(L322),Metallic_Radius_Table!A:A,Metallic_Radius_Table!B:B))</f>
        <v>1.87</v>
      </c>
      <c r="N322" s="0" t="str">
        <f aca="false">TRIM(LEFT(C322,FIND(",",C322)-1))</f>
        <v>Co</v>
      </c>
      <c r="O322" s="3" t="n">
        <f aca="false">IF(N322="","",_xlfn.XLOOKUP(TRIM(N322),Metallic_Radius_Table!A:A,Metallic_Radius_Table!B:B))</f>
        <v>1.25</v>
      </c>
      <c r="P322" s="0" t="str">
        <f aca="false">TRIM(MID(C322,FIND(",",C322)+1,5))</f>
        <v>Ti</v>
      </c>
      <c r="Q322" s="0" t="n">
        <f aca="false">IF(P322="","",_xlfn.XLOOKUP(TRIM(P322),Metallic_Radius_Table!A:A,Metallic_Radius_Table!B:B))</f>
        <v>1.47</v>
      </c>
      <c r="R322" s="0" t="str">
        <f aca="false">IF(G322&gt;=1,   "Ferromagnetic / Ferrimagnetic",   IF(G322&gt;=0.05,      "Paramagnetic / Weakly magnetic",      "Antiferromagnetic / Diamagnetic"))</f>
        <v>Ferromagnetic / Ferrimagnetic</v>
      </c>
      <c r="U322" s="0" t="str">
        <f aca="false">IF(G322&gt;=1,
   "FM → PM (Curie-type)",
   IF(G322&lt;0.05,
      "AFM → PM (Néel-type)",
      "No long-range magnetic transition"))</f>
        <v>FM → PM (Curie-type)</v>
      </c>
    </row>
    <row r="323" customFormat="false" ht="14.25" hidden="false" customHeight="false" outlineLevel="0" collapsed="false">
      <c r="A323" s="0" t="s">
        <v>740</v>
      </c>
      <c r="B323" s="0" t="s">
        <v>738</v>
      </c>
      <c r="C323" s="0" t="s">
        <v>739</v>
      </c>
      <c r="D323" s="0" t="n">
        <v>-3.32411093058333</v>
      </c>
      <c r="E323" s="0" t="n">
        <v>0.013798827249997</v>
      </c>
      <c r="F323" s="0" t="n">
        <v>0.5484</v>
      </c>
      <c r="G323" s="0" t="n">
        <v>0.000412</v>
      </c>
      <c r="H323" s="0" t="s">
        <v>54</v>
      </c>
      <c r="I323" s="2" t="b">
        <f aca="false">TRUE()</f>
        <v>1</v>
      </c>
      <c r="J323" s="0" t="str">
        <f aca="false">IF(AND(CODE(MID(B323,2,1))&gt;=97,CODE(MID(B323,2,1))&lt;=122),LEFT(B323,2),LEFT(B323,1))</f>
        <v>La</v>
      </c>
      <c r="K323" s="0" t="n">
        <f aca="false">IF(J323="","",_xlfn.XLOOKUP(TRIM(J323),Metallic_Radius_Table!A:A,Metallic_Radius_Table!B:B))</f>
        <v>1.87</v>
      </c>
      <c r="L323" s="0" t="str">
        <f aca="false">IF(ISNUMBER(SEARCH("La",B323)),"La",
 IF(ISNUMBER(SEARCH("Nd",B323)),"Nd",
 IF(ISNUMBER(SEARCH("Eu",B323)),"Eu",
 IF(ISNUMBER(SEARCH("Gd",B323)),"Gd",""))))</f>
        <v>La</v>
      </c>
      <c r="M323" s="0" t="n">
        <f aca="false">IF(L323="","",_xlfn.XLOOKUP(TRIM(L323),Metallic_Radius_Table!A:A,Metallic_Radius_Table!B:B))</f>
        <v>1.87</v>
      </c>
      <c r="N323" s="0" t="str">
        <f aca="false">TRIM(LEFT(C323,FIND(",",C323)-1))</f>
        <v>Co</v>
      </c>
      <c r="O323" s="3" t="n">
        <f aca="false">IF(N323="","",_xlfn.XLOOKUP(TRIM(N323),Metallic_Radius_Table!A:A,Metallic_Radius_Table!B:B))</f>
        <v>1.25</v>
      </c>
      <c r="P323" s="0" t="str">
        <f aca="false">TRIM(MID(C323,FIND(",",C323)+1,5))</f>
        <v>Ti</v>
      </c>
      <c r="Q323" s="0" t="n">
        <f aca="false">IF(P323="","",_xlfn.XLOOKUP(TRIM(P323),Metallic_Radius_Table!A:A,Metallic_Radius_Table!B:B))</f>
        <v>1.47</v>
      </c>
      <c r="R323" s="0" t="str">
        <f aca="false">IF(G323&gt;=1,   "Ferromagnetic / Ferrimagnetic",   IF(G323&gt;=0.05,      "Paramagnetic / Weakly magnetic",      "Antiferromagnetic / Diamagnetic"))</f>
        <v>Antiferromagnetic / Diamagnetic</v>
      </c>
      <c r="U323" s="0" t="str">
        <f aca="false">IF(G323&gt;=1,
   "FM → PM (Curie-type)",
   IF(G323&lt;0.05,
      "AFM → PM (Néel-type)",
      "No long-range magnetic transition"))</f>
        <v>AFM → PM (Néel-type)</v>
      </c>
    </row>
    <row r="324" customFormat="false" ht="14.25" hidden="false" customHeight="false" outlineLevel="0" collapsed="false">
      <c r="A324" s="0" t="s">
        <v>741</v>
      </c>
      <c r="B324" s="0" t="s">
        <v>742</v>
      </c>
      <c r="C324" s="0" t="s">
        <v>175</v>
      </c>
      <c r="D324" s="0" t="n">
        <v>-3.39341390333333</v>
      </c>
      <c r="E324" s="0" t="n">
        <v>0.087445193166676</v>
      </c>
      <c r="F324" s="0" t="n">
        <v>0</v>
      </c>
      <c r="G324" s="0" t="n">
        <v>2.0004393</v>
      </c>
      <c r="H324" s="0" t="s">
        <v>689</v>
      </c>
      <c r="I324" s="2" t="b">
        <f aca="false">TRUE()</f>
        <v>1</v>
      </c>
      <c r="J324" s="0" t="str">
        <f aca="false">IF(AND(CODE(MID(B324,2,1))&gt;=97,CODE(MID(B324,2,1))&lt;=122),LEFT(B324,2),LEFT(B324,1))</f>
        <v>La</v>
      </c>
      <c r="K324" s="0" t="n">
        <f aca="false">IF(J324="","",_xlfn.XLOOKUP(TRIM(J324),Metallic_Radius_Table!A:A,Metallic_Radius_Table!B:B))</f>
        <v>1.87</v>
      </c>
      <c r="L324" s="0" t="str">
        <f aca="false">IF(ISNUMBER(SEARCH("La",B324)),"La",
 IF(ISNUMBER(SEARCH("Nd",B324)),"Nd",
 IF(ISNUMBER(SEARCH("Eu",B324)),"Eu",
 IF(ISNUMBER(SEARCH("Gd",B324)),"Gd",""))))</f>
        <v>La</v>
      </c>
      <c r="M324" s="0" t="n">
        <f aca="false">IF(L324="","",_xlfn.XLOOKUP(TRIM(L324),Metallic_Radius_Table!A:A,Metallic_Radius_Table!B:B))</f>
        <v>1.87</v>
      </c>
      <c r="N324" s="0" t="str">
        <f aca="false">TRIM(LEFT(C324,FIND(",",C324)-1))</f>
        <v>Cr</v>
      </c>
      <c r="O324" s="3" t="n">
        <f aca="false">IF(N324="","",_xlfn.XLOOKUP(TRIM(N324),Metallic_Radius_Table!A:A,Metallic_Radius_Table!B:B))</f>
        <v>1.28</v>
      </c>
      <c r="P324" s="0" t="str">
        <f aca="false">TRIM(MID(C324,FIND(",",C324)+1,5))</f>
        <v>Ti</v>
      </c>
      <c r="Q324" s="0" t="n">
        <f aca="false">IF(P324="","",_xlfn.XLOOKUP(TRIM(P324),Metallic_Radius_Table!A:A,Metallic_Radius_Table!B:B))</f>
        <v>1.47</v>
      </c>
      <c r="R324" s="0" t="str">
        <f aca="false">IF(G324&gt;=1,   "Ferromagnetic / Ferrimagnetic",   IF(G324&gt;=0.05,      "Paramagnetic / Weakly magnetic",      "Antiferromagnetic / Diamagnetic"))</f>
        <v>Ferromagnetic / Ferrimagnetic</v>
      </c>
      <c r="U324" s="0" t="str">
        <f aca="false">IF(G324&gt;=1,
   "FM → PM (Curie-type)",
   IF(G324&lt;0.05,
      "AFM → PM (Néel-type)",
      "No long-range magnetic transition"))</f>
        <v>FM → PM (Curie-type)</v>
      </c>
    </row>
    <row r="325" customFormat="false" ht="14.25" hidden="false" customHeight="false" outlineLevel="0" collapsed="false">
      <c r="A325" s="0" t="s">
        <v>743</v>
      </c>
      <c r="B325" s="0" t="s">
        <v>742</v>
      </c>
      <c r="C325" s="0" t="s">
        <v>175</v>
      </c>
      <c r="D325" s="0" t="n">
        <v>-3.39983510483333</v>
      </c>
      <c r="E325" s="0" t="n">
        <v>0.081023991666674</v>
      </c>
      <c r="F325" s="0" t="n">
        <v>0</v>
      </c>
      <c r="G325" s="0" t="n">
        <v>3.9403679</v>
      </c>
      <c r="H325" s="0" t="s">
        <v>54</v>
      </c>
      <c r="I325" s="2" t="b">
        <f aca="false">TRUE()</f>
        <v>1</v>
      </c>
      <c r="J325" s="0" t="str">
        <f aca="false">IF(AND(CODE(MID(B325,2,1))&gt;=97,CODE(MID(B325,2,1))&lt;=122),LEFT(B325,2),LEFT(B325,1))</f>
        <v>La</v>
      </c>
      <c r="K325" s="0" t="n">
        <f aca="false">IF(J325="","",_xlfn.XLOOKUP(TRIM(J325),Metallic_Radius_Table!A:A,Metallic_Radius_Table!B:B))</f>
        <v>1.87</v>
      </c>
      <c r="L325" s="0" t="str">
        <f aca="false">IF(ISNUMBER(SEARCH("La",B325)),"La",
 IF(ISNUMBER(SEARCH("Nd",B325)),"Nd",
 IF(ISNUMBER(SEARCH("Eu",B325)),"Eu",
 IF(ISNUMBER(SEARCH("Gd",B325)),"Gd",""))))</f>
        <v>La</v>
      </c>
      <c r="M325" s="0" t="n">
        <f aca="false">IF(L325="","",_xlfn.XLOOKUP(TRIM(L325),Metallic_Radius_Table!A:A,Metallic_Radius_Table!B:B))</f>
        <v>1.87</v>
      </c>
      <c r="N325" s="0" t="str">
        <f aca="false">TRIM(LEFT(C325,FIND(",",C325)-1))</f>
        <v>Cr</v>
      </c>
      <c r="O325" s="3" t="n">
        <f aca="false">IF(N325="","",_xlfn.XLOOKUP(TRIM(N325),Metallic_Radius_Table!A:A,Metallic_Radius_Table!B:B))</f>
        <v>1.28</v>
      </c>
      <c r="P325" s="0" t="str">
        <f aca="false">TRIM(MID(C325,FIND(",",C325)+1,5))</f>
        <v>Ti</v>
      </c>
      <c r="Q325" s="0" t="n">
        <f aca="false">IF(P325="","",_xlfn.XLOOKUP(TRIM(P325),Metallic_Radius_Table!A:A,Metallic_Radius_Table!B:B))</f>
        <v>1.47</v>
      </c>
      <c r="R325" s="0" t="str">
        <f aca="false">IF(G325&gt;=1,   "Ferromagnetic / Ferrimagnetic",   IF(G325&gt;=0.05,      "Paramagnetic / Weakly magnetic",      "Antiferromagnetic / Diamagnetic"))</f>
        <v>Ferromagnetic / Ferrimagnetic</v>
      </c>
      <c r="U325" s="0" t="str">
        <f aca="false">IF(G325&gt;=1,
   "FM → PM (Curie-type)",
   IF(G325&lt;0.05,
      "AFM → PM (Néel-type)",
      "No long-range magnetic transition"))</f>
        <v>FM → PM (Curie-type)</v>
      </c>
    </row>
    <row r="326" customFormat="false" ht="14.25" hidden="false" customHeight="false" outlineLevel="0" collapsed="false">
      <c r="A326" s="0" t="s">
        <v>744</v>
      </c>
      <c r="B326" s="0" t="s">
        <v>742</v>
      </c>
      <c r="C326" s="0" t="s">
        <v>175</v>
      </c>
      <c r="D326" s="0" t="n">
        <v>-3.39994005683333</v>
      </c>
      <c r="E326" s="0" t="n">
        <v>0.080919039666675</v>
      </c>
      <c r="F326" s="0" t="n">
        <v>0</v>
      </c>
      <c r="G326" s="0" t="n">
        <v>4.0166242</v>
      </c>
      <c r="H326" s="0" t="s">
        <v>54</v>
      </c>
      <c r="I326" s="2" t="b">
        <f aca="false">TRUE()</f>
        <v>1</v>
      </c>
      <c r="J326" s="0" t="str">
        <f aca="false">IF(AND(CODE(MID(B326,2,1))&gt;=97,CODE(MID(B326,2,1))&lt;=122),LEFT(B326,2),LEFT(B326,1))</f>
        <v>La</v>
      </c>
      <c r="K326" s="0" t="n">
        <f aca="false">IF(J326="","",_xlfn.XLOOKUP(TRIM(J326),Metallic_Radius_Table!A:A,Metallic_Radius_Table!B:B))</f>
        <v>1.87</v>
      </c>
      <c r="L326" s="0" t="str">
        <f aca="false">IF(ISNUMBER(SEARCH("La",B326)),"La",
 IF(ISNUMBER(SEARCH("Nd",B326)),"Nd",
 IF(ISNUMBER(SEARCH("Eu",B326)),"Eu",
 IF(ISNUMBER(SEARCH("Gd",B326)),"Gd",""))))</f>
        <v>La</v>
      </c>
      <c r="M326" s="0" t="n">
        <f aca="false">IF(L326="","",_xlfn.XLOOKUP(TRIM(L326),Metallic_Radius_Table!A:A,Metallic_Radius_Table!B:B))</f>
        <v>1.87</v>
      </c>
      <c r="N326" s="0" t="str">
        <f aca="false">TRIM(LEFT(C326,FIND(",",C326)-1))</f>
        <v>Cr</v>
      </c>
      <c r="O326" s="3" t="n">
        <f aca="false">IF(N326="","",_xlfn.XLOOKUP(TRIM(N326),Metallic_Radius_Table!A:A,Metallic_Radius_Table!B:B))</f>
        <v>1.28</v>
      </c>
      <c r="P326" s="0" t="str">
        <f aca="false">TRIM(MID(C326,FIND(",",C326)+1,5))</f>
        <v>Ti</v>
      </c>
      <c r="Q326" s="0" t="n">
        <f aca="false">IF(P326="","",_xlfn.XLOOKUP(TRIM(P326),Metallic_Radius_Table!A:A,Metallic_Radius_Table!B:B))</f>
        <v>1.47</v>
      </c>
      <c r="R326" s="0" t="str">
        <f aca="false">IF(G326&gt;=1,   "Ferromagnetic / Ferrimagnetic",   IF(G326&gt;=0.05,      "Paramagnetic / Weakly magnetic",      "Antiferromagnetic / Diamagnetic"))</f>
        <v>Ferromagnetic / Ferrimagnetic</v>
      </c>
      <c r="U326" s="0" t="str">
        <f aca="false">IF(G326&gt;=1,
   "FM → PM (Curie-type)",
   IF(G326&lt;0.05,
      "AFM → PM (Néel-type)",
      "No long-range magnetic transition"))</f>
        <v>FM → PM (Curie-type)</v>
      </c>
    </row>
    <row r="327" customFormat="false" ht="14.25" hidden="false" customHeight="false" outlineLevel="0" collapsed="false">
      <c r="A327" s="0" t="s">
        <v>745</v>
      </c>
      <c r="B327" s="0" t="s">
        <v>742</v>
      </c>
      <c r="C327" s="0" t="s">
        <v>175</v>
      </c>
      <c r="D327" s="0" t="n">
        <v>-3.40100869283333</v>
      </c>
      <c r="E327" s="0" t="n">
        <v>0.079850403666673</v>
      </c>
      <c r="F327" s="0" t="n">
        <v>0</v>
      </c>
      <c r="G327" s="0" t="n">
        <v>1.99918519999999</v>
      </c>
      <c r="H327" s="0" t="s">
        <v>54</v>
      </c>
      <c r="I327" s="2" t="b">
        <f aca="false">TRUE()</f>
        <v>1</v>
      </c>
      <c r="J327" s="0" t="str">
        <f aca="false">IF(AND(CODE(MID(B327,2,1))&gt;=97,CODE(MID(B327,2,1))&lt;=122),LEFT(B327,2),LEFT(B327,1))</f>
        <v>La</v>
      </c>
      <c r="K327" s="0" t="n">
        <f aca="false">IF(J327="","",_xlfn.XLOOKUP(TRIM(J327),Metallic_Radius_Table!A:A,Metallic_Radius_Table!B:B))</f>
        <v>1.87</v>
      </c>
      <c r="L327" s="0" t="str">
        <f aca="false">IF(ISNUMBER(SEARCH("La",B327)),"La",
 IF(ISNUMBER(SEARCH("Nd",B327)),"Nd",
 IF(ISNUMBER(SEARCH("Eu",B327)),"Eu",
 IF(ISNUMBER(SEARCH("Gd",B327)),"Gd",""))))</f>
        <v>La</v>
      </c>
      <c r="M327" s="0" t="n">
        <f aca="false">IF(L327="","",_xlfn.XLOOKUP(TRIM(L327),Metallic_Radius_Table!A:A,Metallic_Radius_Table!B:B))</f>
        <v>1.87</v>
      </c>
      <c r="N327" s="0" t="str">
        <f aca="false">TRIM(LEFT(C327,FIND(",",C327)-1))</f>
        <v>Cr</v>
      </c>
      <c r="O327" s="3" t="n">
        <f aca="false">IF(N327="","",_xlfn.XLOOKUP(TRIM(N327),Metallic_Radius_Table!A:A,Metallic_Radius_Table!B:B))</f>
        <v>1.28</v>
      </c>
      <c r="P327" s="0" t="str">
        <f aca="false">TRIM(MID(C327,FIND(",",C327)+1,5))</f>
        <v>Ti</v>
      </c>
      <c r="Q327" s="0" t="n">
        <f aca="false">IF(P327="","",_xlfn.XLOOKUP(TRIM(P327),Metallic_Radius_Table!A:A,Metallic_Radius_Table!B:B))</f>
        <v>1.47</v>
      </c>
      <c r="R327" s="0" t="str">
        <f aca="false">IF(G327&gt;=1,   "Ferromagnetic / Ferrimagnetic",   IF(G327&gt;=0.05,      "Paramagnetic / Weakly magnetic",      "Antiferromagnetic / Diamagnetic"))</f>
        <v>Ferromagnetic / Ferrimagnetic</v>
      </c>
      <c r="U327" s="0" t="str">
        <f aca="false">IF(G327&gt;=1,
   "FM → PM (Curie-type)",
   IF(G327&lt;0.05,
      "AFM → PM (Néel-type)",
      "No long-range magnetic transition"))</f>
        <v>FM → PM (Curie-type)</v>
      </c>
    </row>
    <row r="328" customFormat="false" ht="14.25" hidden="false" customHeight="false" outlineLevel="0" collapsed="false">
      <c r="A328" s="0" t="s">
        <v>746</v>
      </c>
      <c r="B328" s="0" t="s">
        <v>742</v>
      </c>
      <c r="C328" s="0" t="s">
        <v>175</v>
      </c>
      <c r="D328" s="0" t="n">
        <v>-3.39982075883333</v>
      </c>
      <c r="E328" s="0" t="n">
        <v>0.081038337666674</v>
      </c>
      <c r="F328" s="0" t="n">
        <v>0</v>
      </c>
      <c r="G328" s="0" t="n">
        <v>1.9953911</v>
      </c>
      <c r="H328" s="0" t="s">
        <v>54</v>
      </c>
      <c r="I328" s="2" t="b">
        <f aca="false">TRUE()</f>
        <v>1</v>
      </c>
      <c r="J328" s="0" t="str">
        <f aca="false">IF(AND(CODE(MID(B328,2,1))&gt;=97,CODE(MID(B328,2,1))&lt;=122),LEFT(B328,2),LEFT(B328,1))</f>
        <v>La</v>
      </c>
      <c r="K328" s="0" t="n">
        <f aca="false">IF(J328="","",_xlfn.XLOOKUP(TRIM(J328),Metallic_Radius_Table!A:A,Metallic_Radius_Table!B:B))</f>
        <v>1.87</v>
      </c>
      <c r="L328" s="0" t="str">
        <f aca="false">IF(ISNUMBER(SEARCH("La",B328)),"La",
 IF(ISNUMBER(SEARCH("Nd",B328)),"Nd",
 IF(ISNUMBER(SEARCH("Eu",B328)),"Eu",
 IF(ISNUMBER(SEARCH("Gd",B328)),"Gd",""))))</f>
        <v>La</v>
      </c>
      <c r="M328" s="0" t="n">
        <f aca="false">IF(L328="","",_xlfn.XLOOKUP(TRIM(L328),Metallic_Radius_Table!A:A,Metallic_Radius_Table!B:B))</f>
        <v>1.87</v>
      </c>
      <c r="N328" s="0" t="str">
        <f aca="false">TRIM(LEFT(C328,FIND(",",C328)-1))</f>
        <v>Cr</v>
      </c>
      <c r="O328" s="3" t="n">
        <f aca="false">IF(N328="","",_xlfn.XLOOKUP(TRIM(N328),Metallic_Radius_Table!A:A,Metallic_Radius_Table!B:B))</f>
        <v>1.28</v>
      </c>
      <c r="P328" s="0" t="str">
        <f aca="false">TRIM(MID(C328,FIND(",",C328)+1,5))</f>
        <v>Ti</v>
      </c>
      <c r="Q328" s="0" t="n">
        <f aca="false">IF(P328="","",_xlfn.XLOOKUP(TRIM(P328),Metallic_Radius_Table!A:A,Metallic_Radius_Table!B:B))</f>
        <v>1.47</v>
      </c>
      <c r="R328" s="0" t="str">
        <f aca="false">IF(G328&gt;=1,   "Ferromagnetic / Ferrimagnetic",   IF(G328&gt;=0.05,      "Paramagnetic / Weakly magnetic",      "Antiferromagnetic / Diamagnetic"))</f>
        <v>Ferromagnetic / Ferrimagnetic</v>
      </c>
      <c r="U328" s="0" t="str">
        <f aca="false">IF(G328&gt;=1,
   "FM → PM (Curie-type)",
   IF(G328&lt;0.05,
      "AFM → PM (Néel-type)",
      "No long-range magnetic transition"))</f>
        <v>FM → PM (Curie-type)</v>
      </c>
    </row>
    <row r="329" customFormat="false" ht="14.25" hidden="false" customHeight="false" outlineLevel="0" collapsed="false">
      <c r="A329" s="0" t="s">
        <v>747</v>
      </c>
      <c r="B329" s="0" t="s">
        <v>748</v>
      </c>
      <c r="C329" s="0" t="s">
        <v>749</v>
      </c>
      <c r="D329" s="0" t="n">
        <v>-3.46575808087643</v>
      </c>
      <c r="E329" s="0" t="n">
        <v>0.024299401000009</v>
      </c>
      <c r="F329" s="0" t="n">
        <v>2.21319999999999</v>
      </c>
      <c r="G329" s="0" t="n">
        <v>0</v>
      </c>
      <c r="H329" s="0" t="s">
        <v>352</v>
      </c>
      <c r="I329" s="2" t="b">
        <f aca="false">TRUE()</f>
        <v>1</v>
      </c>
      <c r="J329" s="0" t="str">
        <f aca="false">IF(AND(CODE(MID(B329,2,1))&gt;=97,CODE(MID(B329,2,1))&lt;=122),LEFT(B329,2),LEFT(B329,1))</f>
        <v>La</v>
      </c>
      <c r="K329" s="0" t="n">
        <f aca="false">IF(J329="","",_xlfn.XLOOKUP(TRIM(J329),Metallic_Radius_Table!A:A,Metallic_Radius_Table!B:B))</f>
        <v>1.87</v>
      </c>
      <c r="L329" s="0" t="str">
        <f aca="false">IF(ISNUMBER(SEARCH("La",B329)),"La",
 IF(ISNUMBER(SEARCH("Nd",B329)),"Nd",
 IF(ISNUMBER(SEARCH("Eu",B329)),"Eu",
 IF(ISNUMBER(SEARCH("Gd",B329)),"Gd",""))))</f>
        <v>La</v>
      </c>
      <c r="M329" s="0" t="n">
        <f aca="false">IF(L329="","",_xlfn.XLOOKUP(TRIM(L329),Metallic_Radius_Table!A:A,Metallic_Radius_Table!B:B))</f>
        <v>1.87</v>
      </c>
      <c r="N329" s="0" t="str">
        <f aca="false">TRIM(LEFT(C329,FIND(",",C329)-1))</f>
        <v>Ti</v>
      </c>
      <c r="O329" s="3" t="n">
        <f aca="false">IF(N329="","",_xlfn.XLOOKUP(TRIM(N329),Metallic_Radius_Table!A:A,Metallic_Radius_Table!B:B))</f>
        <v>1.47</v>
      </c>
      <c r="P329" s="0" t="str">
        <f aca="false">TRIM(MID(C329,FIND(",",C329)+1,5))</f>
        <v>Mn</v>
      </c>
      <c r="Q329" s="0" t="n">
        <f aca="false">IF(P329="","",_xlfn.XLOOKUP(TRIM(P329),Metallic_Radius_Table!A:A,Metallic_Radius_Table!B:B))</f>
        <v>1.27</v>
      </c>
      <c r="R329" s="0" t="str">
        <f aca="false">IF(G329&gt;=1,   "Ferromagnetic / Ferrimagnetic",   IF(G329&gt;=0.05,      "Paramagnetic / Weakly magnetic",      "Antiferromagnetic / Diamagnetic"))</f>
        <v>Antiferromagnetic / Diamagnetic</v>
      </c>
      <c r="U329" s="0" t="str">
        <f aca="false">IF(G329&gt;=1,
   "FM → PM (Curie-type)",
   IF(G329&lt;0.05,
      "AFM → PM (Néel-type)",
      "No long-range magnetic transition"))</f>
        <v>AFM → PM (Néel-type)</v>
      </c>
    </row>
    <row r="330" customFormat="false" ht="14.25" hidden="false" customHeight="false" outlineLevel="0" collapsed="false">
      <c r="A330" s="0" t="s">
        <v>750</v>
      </c>
      <c r="B330" s="0" t="s">
        <v>751</v>
      </c>
      <c r="C330" s="0" t="s">
        <v>504</v>
      </c>
      <c r="D330" s="0" t="n">
        <v>-3.22316693233333</v>
      </c>
      <c r="E330" s="0" t="n">
        <v>0.103993656250001</v>
      </c>
      <c r="F330" s="0" t="n">
        <v>0</v>
      </c>
      <c r="G330" s="0" t="n">
        <v>2.0000001</v>
      </c>
      <c r="H330" s="0" t="s">
        <v>22</v>
      </c>
      <c r="I330" s="2" t="b">
        <f aca="false">TRUE()</f>
        <v>1</v>
      </c>
      <c r="J330" s="0" t="str">
        <f aca="false">IF(AND(CODE(MID(B330,2,1))&gt;=97,CODE(MID(B330,2,1))&lt;=122),LEFT(B330,2),LEFT(B330,1))</f>
        <v>La</v>
      </c>
      <c r="K330" s="0" t="n">
        <f aca="false">IF(J330="","",_xlfn.XLOOKUP(TRIM(J330),Metallic_Radius_Table!A:A,Metallic_Radius_Table!B:B))</f>
        <v>1.87</v>
      </c>
      <c r="L330" s="0" t="str">
        <f aca="false">IF(ISNUMBER(SEARCH("La",B330)),"La",
 IF(ISNUMBER(SEARCH("Nd",B330)),"Nd",
 IF(ISNUMBER(SEARCH("Eu",B330)),"Eu",
 IF(ISNUMBER(SEARCH("Gd",B330)),"Gd",""))))</f>
        <v>La</v>
      </c>
      <c r="M330" s="0" t="n">
        <f aca="false">IF(L330="","",_xlfn.XLOOKUP(TRIM(L330),Metallic_Radius_Table!A:A,Metallic_Radius_Table!B:B))</f>
        <v>1.87</v>
      </c>
      <c r="N330" s="0" t="str">
        <f aca="false">TRIM(LEFT(C330,FIND(",",C330)-1))</f>
        <v>Ni</v>
      </c>
      <c r="O330" s="3" t="n">
        <f aca="false">IF(N330="","",_xlfn.XLOOKUP(TRIM(N330),Metallic_Radius_Table!A:A,Metallic_Radius_Table!B:B))</f>
        <v>1.24</v>
      </c>
      <c r="P330" s="0" t="str">
        <f aca="false">TRIM(MID(C330,FIND(",",C330)+1,5))</f>
        <v>Ti</v>
      </c>
      <c r="Q330" s="0" t="n">
        <f aca="false">IF(P330="","",_xlfn.XLOOKUP(TRIM(P330),Metallic_Radius_Table!A:A,Metallic_Radius_Table!B:B))</f>
        <v>1.47</v>
      </c>
      <c r="R330" s="0" t="str">
        <f aca="false">IF(G330&gt;=1,   "Ferromagnetic / Ferrimagnetic",   IF(G330&gt;=0.05,      "Paramagnetic / Weakly magnetic",      "Antiferromagnetic / Diamagnetic"))</f>
        <v>Ferromagnetic / Ferrimagnetic</v>
      </c>
      <c r="U330" s="0" t="str">
        <f aca="false">IF(G330&gt;=1,
   "FM → PM (Curie-type)",
   IF(G330&lt;0.05,
      "AFM → PM (Néel-type)",
      "No long-range magnetic transition"))</f>
        <v>FM → PM (Curie-type)</v>
      </c>
    </row>
    <row r="331" customFormat="false" ht="14.25" hidden="false" customHeight="false" outlineLevel="0" collapsed="false">
      <c r="A331" s="0" t="s">
        <v>752</v>
      </c>
      <c r="B331" s="0" t="s">
        <v>751</v>
      </c>
      <c r="C331" s="0" t="s">
        <v>504</v>
      </c>
      <c r="D331" s="0" t="n">
        <v>-3.31612818233333</v>
      </c>
      <c r="E331" s="0" t="n">
        <v>0.011032406249999</v>
      </c>
      <c r="F331" s="0" t="n">
        <v>2.8034</v>
      </c>
      <c r="G331" s="4" t="n">
        <v>8E-007</v>
      </c>
      <c r="H331" s="0" t="s">
        <v>352</v>
      </c>
      <c r="I331" s="2" t="b">
        <f aca="false">TRUE()</f>
        <v>1</v>
      </c>
      <c r="J331" s="0" t="str">
        <f aca="false">IF(AND(CODE(MID(B331,2,1))&gt;=97,CODE(MID(B331,2,1))&lt;=122),LEFT(B331,2),LEFT(B331,1))</f>
        <v>La</v>
      </c>
      <c r="K331" s="0" t="n">
        <f aca="false">IF(J331="","",_xlfn.XLOOKUP(TRIM(J331),Metallic_Radius_Table!A:A,Metallic_Radius_Table!B:B))</f>
        <v>1.87</v>
      </c>
      <c r="L331" s="0" t="str">
        <f aca="false">IF(ISNUMBER(SEARCH("La",B331)),"La",
 IF(ISNUMBER(SEARCH("Nd",B331)),"Nd",
 IF(ISNUMBER(SEARCH("Eu",B331)),"Eu",
 IF(ISNUMBER(SEARCH("Gd",B331)),"Gd",""))))</f>
        <v>La</v>
      </c>
      <c r="M331" s="0" t="n">
        <f aca="false">IF(L331="","",_xlfn.XLOOKUP(TRIM(L331),Metallic_Radius_Table!A:A,Metallic_Radius_Table!B:B))</f>
        <v>1.87</v>
      </c>
      <c r="N331" s="0" t="str">
        <f aca="false">TRIM(LEFT(C331,FIND(",",C331)-1))</f>
        <v>Ni</v>
      </c>
      <c r="O331" s="3" t="n">
        <f aca="false">IF(N331="","",_xlfn.XLOOKUP(TRIM(N331),Metallic_Radius_Table!A:A,Metallic_Radius_Table!B:B))</f>
        <v>1.24</v>
      </c>
      <c r="P331" s="0" t="str">
        <f aca="false">TRIM(MID(C331,FIND(",",C331)+1,5))</f>
        <v>Ti</v>
      </c>
      <c r="Q331" s="0" t="n">
        <f aca="false">IF(P331="","",_xlfn.XLOOKUP(TRIM(P331),Metallic_Radius_Table!A:A,Metallic_Radius_Table!B:B))</f>
        <v>1.47</v>
      </c>
      <c r="R331" s="0" t="str">
        <f aca="false">IF(G331&gt;=1,   "Ferromagnetic / Ferrimagnetic",   IF(G331&gt;=0.05,      "Paramagnetic / Weakly magnetic",      "Antiferromagnetic / Diamagnetic"))</f>
        <v>Antiferromagnetic / Diamagnetic</v>
      </c>
      <c r="U331" s="0" t="str">
        <f aca="false">IF(G331&gt;=1,
   "FM → PM (Curie-type)",
   IF(G331&lt;0.05,
      "AFM → PM (Néel-type)",
      "No long-range magnetic transition"))</f>
        <v>AFM → PM (Néel-type)</v>
      </c>
    </row>
    <row r="332" customFormat="false" ht="14.25" hidden="false" customHeight="false" outlineLevel="0" collapsed="false">
      <c r="A332" s="0" t="s">
        <v>753</v>
      </c>
      <c r="B332" s="0" t="s">
        <v>754</v>
      </c>
      <c r="C332" s="0" t="s">
        <v>241</v>
      </c>
      <c r="D332" s="0" t="n">
        <v>-3.063804908</v>
      </c>
      <c r="E332" s="0" t="n">
        <v>0.0023092195</v>
      </c>
      <c r="F332" s="0" t="n">
        <v>0</v>
      </c>
      <c r="G332" s="0" t="n">
        <v>5.9998146</v>
      </c>
      <c r="H332" s="0" t="s">
        <v>352</v>
      </c>
      <c r="I332" s="2" t="b">
        <f aca="false">TRUE()</f>
        <v>1</v>
      </c>
      <c r="J332" s="0" t="str">
        <f aca="false">IF(AND(CODE(MID(B332,2,1))&gt;=97,CODE(MID(B332,2,1))&lt;=122),LEFT(B332,2),LEFT(B332,1))</f>
        <v>La</v>
      </c>
      <c r="K332" s="0" t="n">
        <f aca="false">IF(J332="","",_xlfn.XLOOKUP(TRIM(J332),Metallic_Radius_Table!A:A,Metallic_Radius_Table!B:B))</f>
        <v>1.87</v>
      </c>
      <c r="L332" s="0" t="str">
        <f aca="false">IF(ISNUMBER(SEARCH("La",B332)),"La",
 IF(ISNUMBER(SEARCH("Nd",B332)),"Nd",
 IF(ISNUMBER(SEARCH("Eu",B332)),"Eu",
 IF(ISNUMBER(SEARCH("Gd",B332)),"Gd",""))))</f>
        <v>La</v>
      </c>
      <c r="M332" s="0" t="n">
        <f aca="false">IF(L332="","",_xlfn.XLOOKUP(TRIM(L332),Metallic_Radius_Table!A:A,Metallic_Radius_Table!B:B))</f>
        <v>1.87</v>
      </c>
      <c r="N332" s="0" t="str">
        <f aca="false">TRIM(LEFT(C332,FIND(",",C332)-1))</f>
        <v>Fe</v>
      </c>
      <c r="O332" s="3" t="n">
        <f aca="false">IF(N332="","",_xlfn.XLOOKUP(TRIM(N332),Metallic_Radius_Table!A:A,Metallic_Radius_Table!B:B))</f>
        <v>1.26</v>
      </c>
      <c r="P332" s="0" t="str">
        <f aca="false">TRIM(MID(C332,FIND(",",C332)+1,5))</f>
        <v>V</v>
      </c>
      <c r="Q332" s="0" t="n">
        <f aca="false">IF(P332="","",_xlfn.XLOOKUP(TRIM(P332),Metallic_Radius_Table!A:A,Metallic_Radius_Table!B:B))</f>
        <v>1.34</v>
      </c>
      <c r="R332" s="0" t="str">
        <f aca="false">IF(G332&gt;=1,   "Ferromagnetic / Ferrimagnetic",   IF(G332&gt;=0.05,      "Paramagnetic / Weakly magnetic",      "Antiferromagnetic / Diamagnetic"))</f>
        <v>Ferromagnetic / Ferrimagnetic</v>
      </c>
      <c r="U332" s="0" t="str">
        <f aca="false">IF(G332&gt;=1,
   "FM → PM (Curie-type)",
   IF(G332&lt;0.05,
      "AFM → PM (Néel-type)",
      "No long-range magnetic transition"))</f>
        <v>FM → PM (Curie-type)</v>
      </c>
    </row>
    <row r="333" customFormat="false" ht="14.25" hidden="false" customHeight="false" outlineLevel="0" collapsed="false">
      <c r="A333" s="0" t="s">
        <v>755</v>
      </c>
      <c r="B333" s="0" t="s">
        <v>754</v>
      </c>
      <c r="C333" s="0" t="s">
        <v>241</v>
      </c>
      <c r="D333" s="0" t="n">
        <v>-3.0448018315</v>
      </c>
      <c r="E333" s="0" t="n">
        <v>0.021312296000001</v>
      </c>
      <c r="F333" s="0" t="n">
        <v>0.1083</v>
      </c>
      <c r="G333" s="0" t="n">
        <v>6.0006724</v>
      </c>
      <c r="H333" s="0" t="s">
        <v>54</v>
      </c>
      <c r="I333" s="2" t="b">
        <f aca="false">TRUE()</f>
        <v>1</v>
      </c>
      <c r="J333" s="0" t="str">
        <f aca="false">IF(AND(CODE(MID(B333,2,1))&gt;=97,CODE(MID(B333,2,1))&lt;=122),LEFT(B333,2),LEFT(B333,1))</f>
        <v>La</v>
      </c>
      <c r="K333" s="0" t="n">
        <f aca="false">IF(J333="","",_xlfn.XLOOKUP(TRIM(J333),Metallic_Radius_Table!A:A,Metallic_Radius_Table!B:B))</f>
        <v>1.87</v>
      </c>
      <c r="L333" s="0" t="str">
        <f aca="false">IF(ISNUMBER(SEARCH("La",B333)),"La",
 IF(ISNUMBER(SEARCH("Nd",B333)),"Nd",
 IF(ISNUMBER(SEARCH("Eu",B333)),"Eu",
 IF(ISNUMBER(SEARCH("Gd",B333)),"Gd",""))))</f>
        <v>La</v>
      </c>
      <c r="M333" s="0" t="n">
        <f aca="false">IF(L333="","",_xlfn.XLOOKUP(TRIM(L333),Metallic_Radius_Table!A:A,Metallic_Radius_Table!B:B))</f>
        <v>1.87</v>
      </c>
      <c r="N333" s="0" t="str">
        <f aca="false">TRIM(LEFT(C333,FIND(",",C333)-1))</f>
        <v>Fe</v>
      </c>
      <c r="O333" s="3" t="n">
        <f aca="false">IF(N333="","",_xlfn.XLOOKUP(TRIM(N333),Metallic_Radius_Table!A:A,Metallic_Radius_Table!B:B))</f>
        <v>1.26</v>
      </c>
      <c r="P333" s="0" t="str">
        <f aca="false">TRIM(MID(C333,FIND(",",C333)+1,5))</f>
        <v>V</v>
      </c>
      <c r="Q333" s="0" t="n">
        <f aca="false">IF(P333="","",_xlfn.XLOOKUP(TRIM(P333),Metallic_Radius_Table!A:A,Metallic_Radius_Table!B:B))</f>
        <v>1.34</v>
      </c>
      <c r="R333" s="0" t="str">
        <f aca="false">IF(G333&gt;=1,   "Ferromagnetic / Ferrimagnetic",   IF(G333&gt;=0.05,      "Paramagnetic / Weakly magnetic",      "Antiferromagnetic / Diamagnetic"))</f>
        <v>Ferromagnetic / Ferrimagnetic</v>
      </c>
      <c r="U333" s="0" t="str">
        <f aca="false">IF(G333&gt;=1,
   "FM → PM (Curie-type)",
   IF(G333&lt;0.05,
      "AFM → PM (Néel-type)",
      "No long-range magnetic transition"))</f>
        <v>FM → PM (Curie-type)</v>
      </c>
    </row>
    <row r="334" customFormat="false" ht="14.25" hidden="false" customHeight="false" outlineLevel="0" collapsed="false">
      <c r="A334" s="0" t="s">
        <v>756</v>
      </c>
      <c r="B334" s="0" t="s">
        <v>757</v>
      </c>
      <c r="C334" s="0" t="s">
        <v>260</v>
      </c>
      <c r="D334" s="0" t="n">
        <v>-2.03996887444444</v>
      </c>
      <c r="E334" s="0" t="n">
        <v>0.172566893333333</v>
      </c>
      <c r="F334" s="0" t="n">
        <v>0.938699999999999</v>
      </c>
      <c r="G334" s="0" t="n">
        <v>8.0003077</v>
      </c>
      <c r="H334" s="0" t="s">
        <v>163</v>
      </c>
      <c r="I334" s="2" t="b">
        <f aca="false">TRUE()</f>
        <v>1</v>
      </c>
      <c r="J334" s="0" t="str">
        <f aca="false">IF(AND(CODE(MID(B334,2,1))&gt;=97,CODE(MID(B334,2,1))&lt;=122),LEFT(B334,2),LEFT(B334,1))</f>
        <v>La</v>
      </c>
      <c r="K334" s="0" t="n">
        <f aca="false">IF(J334="","",_xlfn.XLOOKUP(TRIM(J334),Metallic_Radius_Table!A:A,Metallic_Radius_Table!B:B))</f>
        <v>1.87</v>
      </c>
      <c r="L334" s="0" t="str">
        <f aca="false">IF(ISNUMBER(SEARCH("La",B334)),"La",
 IF(ISNUMBER(SEARCH("Nd",B334)),"Nd",
 IF(ISNUMBER(SEARCH("Eu",B334)),"Eu",
 IF(ISNUMBER(SEARCH("Gd",B334)),"Gd",""))))</f>
        <v>La</v>
      </c>
      <c r="M334" s="0" t="n">
        <f aca="false">IF(L334="","",_xlfn.XLOOKUP(TRIM(L334),Metallic_Radius_Table!A:A,Metallic_Radius_Table!B:B))</f>
        <v>1.87</v>
      </c>
      <c r="N334" s="0" t="str">
        <f aca="false">TRIM(LEFT(C334,FIND(",",C334)-1))</f>
        <v>Cr</v>
      </c>
      <c r="O334" s="3" t="n">
        <f aca="false">IF(N334="","",_xlfn.XLOOKUP(TRIM(N334),Metallic_Radius_Table!A:A,Metallic_Radius_Table!B:B))</f>
        <v>1.28</v>
      </c>
      <c r="P334" s="0" t="str">
        <f aca="false">TRIM(MID(C334,FIND(",",C334)+1,5))</f>
        <v>Co</v>
      </c>
      <c r="Q334" s="0" t="n">
        <f aca="false">IF(P334="","",_xlfn.XLOOKUP(TRIM(P334),Metallic_Radius_Table!A:A,Metallic_Radius_Table!B:B))</f>
        <v>1.25</v>
      </c>
      <c r="R334" s="0" t="str">
        <f aca="false">IF(G334&gt;=1,   "Ferromagnetic / Ferrimagnetic",   IF(G334&gt;=0.05,      "Paramagnetic / Weakly magnetic",      "Antiferromagnetic / Diamagnetic"))</f>
        <v>Ferromagnetic / Ferrimagnetic</v>
      </c>
      <c r="U334" s="0" t="str">
        <f aca="false">IF(G334&gt;=1,
   "FM → PM (Curie-type)",
   IF(G334&lt;0.05,
      "AFM → PM (Néel-type)",
      "No long-range magnetic transition"))</f>
        <v>FM → PM (Curie-type)</v>
      </c>
    </row>
    <row r="335" customFormat="false" ht="14.25" hidden="false" customHeight="false" outlineLevel="0" collapsed="false">
      <c r="A335" s="0" t="s">
        <v>758</v>
      </c>
      <c r="B335" s="0" t="s">
        <v>759</v>
      </c>
      <c r="C335" s="0" t="s">
        <v>760</v>
      </c>
      <c r="D335" s="0" t="n">
        <v>-2.61421939972222</v>
      </c>
      <c r="E335" s="0" t="n">
        <v>0.11034423805553</v>
      </c>
      <c r="F335" s="0" t="n">
        <v>0</v>
      </c>
      <c r="G335" s="0" t="n">
        <v>2.0001823</v>
      </c>
      <c r="H335" s="0" t="s">
        <v>58</v>
      </c>
      <c r="I335" s="2" t="b">
        <f aca="false">TRUE()</f>
        <v>1</v>
      </c>
      <c r="J335" s="0" t="str">
        <f aca="false">IF(AND(CODE(MID(B335,2,1))&gt;=97,CODE(MID(B335,2,1))&lt;=122),LEFT(B335,2),LEFT(B335,1))</f>
        <v>La</v>
      </c>
      <c r="K335" s="0" t="n">
        <f aca="false">IF(J335="","",_xlfn.XLOOKUP(TRIM(J335),Metallic_Radius_Table!A:A,Metallic_Radius_Table!B:B))</f>
        <v>1.87</v>
      </c>
      <c r="L335" s="0" t="str">
        <f aca="false">IF(ISNUMBER(SEARCH("La",B335)),"La",
 IF(ISNUMBER(SEARCH("Nd",B335)),"Nd",
 IF(ISNUMBER(SEARCH("Eu",B335)),"Eu",
 IF(ISNUMBER(SEARCH("Gd",B335)),"Gd",""))))</f>
        <v>La</v>
      </c>
      <c r="M335" s="0" t="n">
        <f aca="false">IF(L335="","",_xlfn.XLOOKUP(TRIM(L335),Metallic_Radius_Table!A:A,Metallic_Radius_Table!B:B))</f>
        <v>1.87</v>
      </c>
      <c r="N335" s="0" t="str">
        <f aca="false">TRIM(LEFT(C335,FIND(",",C335)-1))</f>
        <v>Re</v>
      </c>
      <c r="O335" s="3" t="n">
        <f aca="false">IF(N335="","",_xlfn.XLOOKUP(TRIM(N335),Metallic_Radius_Table!A:A,Metallic_Radius_Table!B:B))</f>
        <v>1.37</v>
      </c>
      <c r="P335" s="0" t="str">
        <f aca="false">TRIM(MID(C335,FIND(",",C335)+1,5))</f>
        <v>Cr</v>
      </c>
      <c r="Q335" s="0" t="n">
        <f aca="false">IF(P335="","",_xlfn.XLOOKUP(TRIM(P335),Metallic_Radius_Table!A:A,Metallic_Radius_Table!B:B))</f>
        <v>1.28</v>
      </c>
      <c r="R335" s="0" t="str">
        <f aca="false">IF(G335&gt;=1,   "Ferromagnetic / Ferrimagnetic",   IF(G335&gt;=0.05,      "Paramagnetic / Weakly magnetic",      "Antiferromagnetic / Diamagnetic"))</f>
        <v>Ferromagnetic / Ferrimagnetic</v>
      </c>
      <c r="U335" s="0" t="str">
        <f aca="false">IF(G335&gt;=1,
   "FM → PM (Curie-type)",
   IF(G335&lt;0.05,
      "AFM → PM (Néel-type)",
      "No long-range magnetic transition"))</f>
        <v>FM → PM (Curie-type)</v>
      </c>
    </row>
    <row r="336" customFormat="false" ht="14.25" hidden="false" customHeight="false" outlineLevel="0" collapsed="false">
      <c r="A336" s="0" t="s">
        <v>761</v>
      </c>
      <c r="B336" s="0" t="s">
        <v>762</v>
      </c>
      <c r="C336" s="0" t="s">
        <v>134</v>
      </c>
      <c r="D336" s="0" t="n">
        <v>-2.72135819999999</v>
      </c>
      <c r="E336" s="0" t="n">
        <v>0.082807812222123</v>
      </c>
      <c r="F336" s="0" t="n">
        <v>0.7814</v>
      </c>
      <c r="G336" s="4" t="n">
        <v>8.7E-006</v>
      </c>
      <c r="H336" s="0" t="s">
        <v>58</v>
      </c>
      <c r="I336" s="2" t="b">
        <f aca="false">TRUE()</f>
        <v>1</v>
      </c>
      <c r="J336" s="0" t="str">
        <f aca="false">IF(AND(CODE(MID(B336,2,1))&gt;=97,CODE(MID(B336,2,1))&lt;=122),LEFT(B336,2),LEFT(B336,1))</f>
        <v>La</v>
      </c>
      <c r="K336" s="0" t="n">
        <f aca="false">IF(J336="","",_xlfn.XLOOKUP(TRIM(J336),Metallic_Radius_Table!A:A,Metallic_Radius_Table!B:B))</f>
        <v>1.87</v>
      </c>
      <c r="L336" s="0" t="str">
        <f aca="false">IF(ISNUMBER(SEARCH("La",B336)),"La",
 IF(ISNUMBER(SEARCH("Nd",B336)),"Nd",
 IF(ISNUMBER(SEARCH("Eu",B336)),"Eu",
 IF(ISNUMBER(SEARCH("Gd",B336)),"Gd",""))))</f>
        <v>La</v>
      </c>
      <c r="M336" s="0" t="n">
        <f aca="false">IF(L336="","",_xlfn.XLOOKUP(TRIM(L336),Metallic_Radius_Table!A:A,Metallic_Radius_Table!B:B))</f>
        <v>1.87</v>
      </c>
      <c r="N336" s="0" t="str">
        <f aca="false">TRIM(LEFT(C336,FIND(",",C336)-1))</f>
        <v>Cr</v>
      </c>
      <c r="O336" s="3" t="n">
        <f aca="false">IF(N336="","",_xlfn.XLOOKUP(TRIM(N336),Metallic_Radius_Table!A:A,Metallic_Radius_Table!B:B))</f>
        <v>1.28</v>
      </c>
      <c r="P336" s="0" t="str">
        <f aca="false">TRIM(MID(C336,FIND(",",C336)+1,5))</f>
        <v>W</v>
      </c>
      <c r="Q336" s="0" t="n">
        <f aca="false">IF(P336="","",_xlfn.XLOOKUP(TRIM(P336),Metallic_Radius_Table!A:A,Metallic_Radius_Table!B:B))</f>
        <v>1.41</v>
      </c>
      <c r="R336" s="0" t="str">
        <f aca="false">IF(G336&gt;=1,   "Ferromagnetic / Ferrimagnetic",   IF(G336&gt;=0.05,      "Paramagnetic / Weakly magnetic",      "Antiferromagnetic / Diamagnetic"))</f>
        <v>Antiferromagnetic / Diamagnetic</v>
      </c>
      <c r="U336" s="0" t="str">
        <f aca="false">IF(G336&gt;=1,
   "FM → PM (Curie-type)",
   IF(G336&lt;0.05,
      "AFM → PM (Néel-type)",
      "No long-range magnetic transition"))</f>
        <v>AFM → PM (Néel-type)</v>
      </c>
    </row>
    <row r="337" customFormat="false" ht="14.25" hidden="false" customHeight="false" outlineLevel="0" collapsed="false">
      <c r="A337" s="0" t="s">
        <v>763</v>
      </c>
      <c r="B337" s="0" t="s">
        <v>764</v>
      </c>
      <c r="C337" s="0" t="s">
        <v>42</v>
      </c>
      <c r="D337" s="0" t="n">
        <v>-2.40167156</v>
      </c>
      <c r="E337" s="0" t="n">
        <v>0.120356490601849</v>
      </c>
      <c r="F337" s="0" t="n">
        <v>1.4188</v>
      </c>
      <c r="G337" s="0" t="n">
        <v>10.0038912</v>
      </c>
      <c r="H337" s="0" t="s">
        <v>163</v>
      </c>
      <c r="I337" s="2" t="b">
        <f aca="false">TRUE()</f>
        <v>1</v>
      </c>
      <c r="J337" s="0" t="str">
        <f aca="false">IF(AND(CODE(MID(B337,2,1))&gt;=97,CODE(MID(B337,2,1))&lt;=122),LEFT(B337,2),LEFT(B337,1))</f>
        <v>La</v>
      </c>
      <c r="K337" s="0" t="n">
        <f aca="false">IF(J337="","",_xlfn.XLOOKUP(TRIM(J337),Metallic_Radius_Table!A:A,Metallic_Radius_Table!B:B))</f>
        <v>1.87</v>
      </c>
      <c r="L337" s="0" t="str">
        <f aca="false">IF(ISNUMBER(SEARCH("La",B337)),"La",
 IF(ISNUMBER(SEARCH("Nd",B337)),"Nd",
 IF(ISNUMBER(SEARCH("Eu",B337)),"Eu",
 IF(ISNUMBER(SEARCH("Gd",B337)),"Gd",""))))</f>
        <v>La</v>
      </c>
      <c r="M337" s="0" t="n">
        <f aca="false">IF(L337="","",_xlfn.XLOOKUP(TRIM(L337),Metallic_Radius_Table!A:A,Metallic_Radius_Table!B:B))</f>
        <v>1.87</v>
      </c>
      <c r="N337" s="0" t="str">
        <f aca="false">TRIM(LEFT(C337,FIND(",",C337)-1))</f>
        <v>Fe</v>
      </c>
      <c r="O337" s="3" t="n">
        <f aca="false">IF(N337="","",_xlfn.XLOOKUP(TRIM(N337),Metallic_Radius_Table!A:A,Metallic_Radius_Table!B:B))</f>
        <v>1.26</v>
      </c>
      <c r="P337" s="0" t="str">
        <f aca="false">TRIM(MID(C337,FIND(",",C337)+1,5))</f>
        <v>Mo</v>
      </c>
      <c r="Q337" s="0" t="n">
        <f aca="false">IF(P337="","",_xlfn.XLOOKUP(TRIM(P337),Metallic_Radius_Table!A:A,Metallic_Radius_Table!B:B))</f>
        <v>1.39</v>
      </c>
      <c r="R337" s="0" t="str">
        <f aca="false">IF(G337&gt;=1,   "Ferromagnetic / Ferrimagnetic",   IF(G337&gt;=0.05,      "Paramagnetic / Weakly magnetic",      "Antiferromagnetic / Diamagnetic"))</f>
        <v>Ferromagnetic / Ferrimagnetic</v>
      </c>
      <c r="U337" s="0" t="str">
        <f aca="false">IF(G337&gt;=1,
   "FM → PM (Curie-type)",
   IF(G337&lt;0.05,
      "AFM → PM (Néel-type)",
      "No long-range magnetic transition"))</f>
        <v>FM → PM (Curie-type)</v>
      </c>
    </row>
    <row r="338" customFormat="false" ht="14.25" hidden="false" customHeight="false" outlineLevel="0" collapsed="false">
      <c r="A338" s="0" t="s">
        <v>765</v>
      </c>
      <c r="B338" s="0" t="s">
        <v>766</v>
      </c>
      <c r="C338" s="0" t="s">
        <v>50</v>
      </c>
      <c r="D338" s="0" t="n">
        <v>-2.42707637916666</v>
      </c>
      <c r="E338" s="0" t="n">
        <v>0.106544180555571</v>
      </c>
      <c r="F338" s="0" t="n">
        <v>0</v>
      </c>
      <c r="G338" s="0" t="n">
        <v>7.9994968</v>
      </c>
      <c r="H338" s="0" t="s">
        <v>163</v>
      </c>
      <c r="I338" s="2" t="b">
        <f aca="false">TRUE()</f>
        <v>1</v>
      </c>
      <c r="J338" s="0" t="str">
        <f aca="false">IF(AND(CODE(MID(B338,2,1))&gt;=97,CODE(MID(B338,2,1))&lt;=122),LEFT(B338,2),LEFT(B338,1))</f>
        <v>La</v>
      </c>
      <c r="K338" s="0" t="n">
        <f aca="false">IF(J338="","",_xlfn.XLOOKUP(TRIM(J338),Metallic_Radius_Table!A:A,Metallic_Radius_Table!B:B))</f>
        <v>1.87</v>
      </c>
      <c r="L338" s="0" t="str">
        <f aca="false">IF(ISNUMBER(SEARCH("La",B338)),"La",
 IF(ISNUMBER(SEARCH("Nd",B338)),"Nd",
 IF(ISNUMBER(SEARCH("Eu",B338)),"Eu",
 IF(ISNUMBER(SEARCH("Gd",B338)),"Gd",""))))</f>
        <v>La</v>
      </c>
      <c r="M338" s="0" t="n">
        <f aca="false">IF(L338="","",_xlfn.XLOOKUP(TRIM(L338),Metallic_Radius_Table!A:A,Metallic_Radius_Table!B:B))</f>
        <v>1.87</v>
      </c>
      <c r="N338" s="0" t="str">
        <f aca="false">TRIM(LEFT(C338,FIND(",",C338)-1))</f>
        <v>Re</v>
      </c>
      <c r="O338" s="3" t="n">
        <f aca="false">IF(N338="","",_xlfn.XLOOKUP(TRIM(N338),Metallic_Radius_Table!A:A,Metallic_Radius_Table!B:B))</f>
        <v>1.37</v>
      </c>
      <c r="P338" s="0" t="str">
        <f aca="false">TRIM(MID(C338,FIND(",",C338)+1,5))</f>
        <v>Fe</v>
      </c>
      <c r="Q338" s="0" t="n">
        <f aca="false">IF(P338="","",_xlfn.XLOOKUP(TRIM(P338),Metallic_Radius_Table!A:A,Metallic_Radius_Table!B:B))</f>
        <v>1.26</v>
      </c>
      <c r="R338" s="0" t="str">
        <f aca="false">IF(G338&gt;=1,   "Ferromagnetic / Ferrimagnetic",   IF(G338&gt;=0.05,      "Paramagnetic / Weakly magnetic",      "Antiferromagnetic / Diamagnetic"))</f>
        <v>Ferromagnetic / Ferrimagnetic</v>
      </c>
      <c r="U338" s="0" t="str">
        <f aca="false">IF(G338&gt;=1,
   "FM → PM (Curie-type)",
   IF(G338&lt;0.05,
      "AFM → PM (Néel-type)",
      "No long-range magnetic transition"))</f>
        <v>FM → PM (Curie-type)</v>
      </c>
    </row>
    <row r="339" customFormat="false" ht="14.25" hidden="false" customHeight="false" outlineLevel="0" collapsed="false">
      <c r="A339" s="0" t="s">
        <v>767</v>
      </c>
      <c r="B339" s="0" t="s">
        <v>768</v>
      </c>
      <c r="C339" s="0" t="s">
        <v>53</v>
      </c>
      <c r="D339" s="0" t="n">
        <v>-2.53264507833333</v>
      </c>
      <c r="E339" s="0" t="n">
        <v>0.079952433124997</v>
      </c>
      <c r="F339" s="0" t="n">
        <v>1.7784</v>
      </c>
      <c r="G339" s="4" t="n">
        <v>1E-006</v>
      </c>
      <c r="H339" s="0" t="s">
        <v>163</v>
      </c>
      <c r="I339" s="2" t="b">
        <f aca="false">TRUE()</f>
        <v>1</v>
      </c>
      <c r="J339" s="0" t="str">
        <f aca="false">IF(AND(CODE(MID(B339,2,1))&gt;=97,CODE(MID(B339,2,1))&lt;=122),LEFT(B339,2),LEFT(B339,1))</f>
        <v>La</v>
      </c>
      <c r="K339" s="0" t="n">
        <f aca="false">IF(J339="","",_xlfn.XLOOKUP(TRIM(J339),Metallic_Radius_Table!A:A,Metallic_Radius_Table!B:B))</f>
        <v>1.87</v>
      </c>
      <c r="L339" s="0" t="str">
        <f aca="false">IF(ISNUMBER(SEARCH("La",B339)),"La",
 IF(ISNUMBER(SEARCH("Nd",B339)),"Nd",
 IF(ISNUMBER(SEARCH("Eu",B339)),"Eu",
 IF(ISNUMBER(SEARCH("Gd",B339)),"Gd",""))))</f>
        <v>La</v>
      </c>
      <c r="M339" s="0" t="n">
        <f aca="false">IF(L339="","",_xlfn.XLOOKUP(TRIM(L339),Metallic_Radius_Table!A:A,Metallic_Radius_Table!B:B))</f>
        <v>1.87</v>
      </c>
      <c r="N339" s="0" t="str">
        <f aca="false">TRIM(LEFT(C339,FIND(",",C339)-1))</f>
        <v>Fe</v>
      </c>
      <c r="O339" s="3" t="n">
        <f aca="false">IF(N339="","",_xlfn.XLOOKUP(TRIM(N339),Metallic_Radius_Table!A:A,Metallic_Radius_Table!B:B))</f>
        <v>1.26</v>
      </c>
      <c r="P339" s="0" t="str">
        <f aca="false">TRIM(MID(C339,FIND(",",C339)+1,5))</f>
        <v>W</v>
      </c>
      <c r="Q339" s="0" t="n">
        <f aca="false">IF(P339="","",_xlfn.XLOOKUP(TRIM(P339),Metallic_Radius_Table!A:A,Metallic_Radius_Table!B:B))</f>
        <v>1.41</v>
      </c>
      <c r="R339" s="0" t="str">
        <f aca="false">IF(G339&gt;=1,   "Ferromagnetic / Ferrimagnetic",   IF(G339&gt;=0.05,      "Paramagnetic / Weakly magnetic",      "Antiferromagnetic / Diamagnetic"))</f>
        <v>Antiferromagnetic / Diamagnetic</v>
      </c>
      <c r="U339" s="0" t="str">
        <f aca="false">IF(G339&gt;=1,
   "FM → PM (Curie-type)",
   IF(G339&lt;0.05,
      "AFM → PM (Néel-type)",
      "No long-range magnetic transition"))</f>
        <v>AFM → PM (Néel-type)</v>
      </c>
    </row>
    <row r="340" customFormat="false" ht="14.25" hidden="false" customHeight="false" outlineLevel="0" collapsed="false">
      <c r="A340" s="0" t="s">
        <v>769</v>
      </c>
      <c r="B340" s="0" t="s">
        <v>770</v>
      </c>
      <c r="C340" s="0" t="s">
        <v>39</v>
      </c>
      <c r="D340" s="0" t="n">
        <v>-2.7262710545</v>
      </c>
      <c r="E340" s="0" t="n">
        <v>0.089203731874995</v>
      </c>
      <c r="F340" s="0" t="n">
        <v>1.3459</v>
      </c>
      <c r="G340" s="0" t="n">
        <v>4.0146874</v>
      </c>
      <c r="H340" s="0" t="s">
        <v>58</v>
      </c>
      <c r="I340" s="2" t="b">
        <f aca="false">TRUE()</f>
        <v>1</v>
      </c>
      <c r="J340" s="0" t="str">
        <f aca="false">IF(AND(CODE(MID(B340,2,1))&gt;=97,CODE(MID(B340,2,1))&lt;=122),LEFT(B340,2),LEFT(B340,1))</f>
        <v>La</v>
      </c>
      <c r="K340" s="0" t="n">
        <f aca="false">IF(J340="","",_xlfn.XLOOKUP(TRIM(J340),Metallic_Radius_Table!A:A,Metallic_Radius_Table!B:B))</f>
        <v>1.87</v>
      </c>
      <c r="L340" s="0" t="str">
        <f aca="false">IF(ISNUMBER(SEARCH("La",B340)),"La",
 IF(ISNUMBER(SEARCH("Nd",B340)),"Nd",
 IF(ISNUMBER(SEARCH("Eu",B340)),"Eu",
 IF(ISNUMBER(SEARCH("Gd",B340)),"Gd",""))))</f>
        <v>La</v>
      </c>
      <c r="M340" s="0" t="n">
        <f aca="false">IF(L340="","",_xlfn.XLOOKUP(TRIM(L340),Metallic_Radius_Table!A:A,Metallic_Radius_Table!B:B))</f>
        <v>1.87</v>
      </c>
      <c r="N340" s="0" t="str">
        <f aca="false">TRIM(LEFT(C340,FIND(",",C340)-1))</f>
        <v>Cr</v>
      </c>
      <c r="O340" s="3" t="n">
        <f aca="false">IF(N340="","",_xlfn.XLOOKUP(TRIM(N340),Metallic_Radius_Table!A:A,Metallic_Radius_Table!B:B))</f>
        <v>1.28</v>
      </c>
      <c r="P340" s="0" t="str">
        <f aca="false">TRIM(MID(C340,FIND(",",C340)+1,5))</f>
        <v>Mo</v>
      </c>
      <c r="Q340" s="0" t="n">
        <f aca="false">IF(P340="","",_xlfn.XLOOKUP(TRIM(P340),Metallic_Radius_Table!A:A,Metallic_Radius_Table!B:B))</f>
        <v>1.39</v>
      </c>
      <c r="R340" s="0" t="str">
        <f aca="false">IF(G340&gt;=1,   "Ferromagnetic / Ferrimagnetic",   IF(G340&gt;=0.05,      "Paramagnetic / Weakly magnetic",      "Antiferromagnetic / Diamagnetic"))</f>
        <v>Ferromagnetic / Ferrimagnetic</v>
      </c>
      <c r="U340" s="0" t="str">
        <f aca="false">IF(G340&gt;=1,
   "FM → PM (Curie-type)",
   IF(G340&lt;0.05,
      "AFM → PM (Néel-type)",
      "No long-range magnetic transition"))</f>
        <v>FM → PM (Curie-type)</v>
      </c>
    </row>
    <row r="341" customFormat="false" ht="14.25" hidden="false" customHeight="false" outlineLevel="0" collapsed="false">
      <c r="A341" s="0" t="s">
        <v>771</v>
      </c>
      <c r="B341" s="0" t="s">
        <v>770</v>
      </c>
      <c r="C341" s="0" t="s">
        <v>39</v>
      </c>
      <c r="D341" s="0" t="n">
        <v>-2.693245065</v>
      </c>
      <c r="E341" s="0" t="n">
        <v>0.122229721374997</v>
      </c>
      <c r="F341" s="0" t="n">
        <v>1.343</v>
      </c>
      <c r="G341" s="0" t="n">
        <v>5.0069312</v>
      </c>
      <c r="H341" s="0" t="s">
        <v>58</v>
      </c>
      <c r="I341" s="2" t="b">
        <f aca="false">TRUE()</f>
        <v>1</v>
      </c>
      <c r="J341" s="0" t="str">
        <f aca="false">IF(AND(CODE(MID(B341,2,1))&gt;=97,CODE(MID(B341,2,1))&lt;=122),LEFT(B341,2),LEFT(B341,1))</f>
        <v>La</v>
      </c>
      <c r="K341" s="0" t="n">
        <f aca="false">IF(J341="","",_xlfn.XLOOKUP(TRIM(J341),Metallic_Radius_Table!A:A,Metallic_Radius_Table!B:B))</f>
        <v>1.87</v>
      </c>
      <c r="L341" s="0" t="str">
        <f aca="false">IF(ISNUMBER(SEARCH("La",B341)),"La",
 IF(ISNUMBER(SEARCH("Nd",B341)),"Nd",
 IF(ISNUMBER(SEARCH("Eu",B341)),"Eu",
 IF(ISNUMBER(SEARCH("Gd",B341)),"Gd",""))))</f>
        <v>La</v>
      </c>
      <c r="M341" s="0" t="n">
        <f aca="false">IF(L341="","",_xlfn.XLOOKUP(TRIM(L341),Metallic_Radius_Table!A:A,Metallic_Radius_Table!B:B))</f>
        <v>1.87</v>
      </c>
      <c r="N341" s="0" t="str">
        <f aca="false">TRIM(LEFT(C341,FIND(",",C341)-1))</f>
        <v>Cr</v>
      </c>
      <c r="O341" s="3" t="n">
        <f aca="false">IF(N341="","",_xlfn.XLOOKUP(TRIM(N341),Metallic_Radius_Table!A:A,Metallic_Radius_Table!B:B))</f>
        <v>1.28</v>
      </c>
      <c r="P341" s="0" t="str">
        <f aca="false">TRIM(MID(C341,FIND(",",C341)+1,5))</f>
        <v>Mo</v>
      </c>
      <c r="Q341" s="0" t="n">
        <f aca="false">IF(P341="","",_xlfn.XLOOKUP(TRIM(P341),Metallic_Radius_Table!A:A,Metallic_Radius_Table!B:B))</f>
        <v>1.39</v>
      </c>
      <c r="R341" s="0" t="str">
        <f aca="false">IF(G341&gt;=1,   "Ferromagnetic / Ferrimagnetic",   IF(G341&gt;=0.05,      "Paramagnetic / Weakly magnetic",      "Antiferromagnetic / Diamagnetic"))</f>
        <v>Ferromagnetic / Ferrimagnetic</v>
      </c>
      <c r="U341" s="0" t="str">
        <f aca="false">IF(G341&gt;=1,
   "FM → PM (Curie-type)",
   IF(G341&lt;0.05,
      "AFM → PM (Néel-type)",
      "No long-range magnetic transition"))</f>
        <v>FM → PM (Curie-type)</v>
      </c>
    </row>
    <row r="342" customFormat="false" ht="14.25" hidden="false" customHeight="false" outlineLevel="0" collapsed="false">
      <c r="A342" s="0" t="s">
        <v>772</v>
      </c>
      <c r="B342" s="0" t="s">
        <v>773</v>
      </c>
      <c r="C342" s="0" t="s">
        <v>134</v>
      </c>
      <c r="D342" s="0" t="n">
        <v>-2.7056849155</v>
      </c>
      <c r="E342" s="0" t="n">
        <v>0.159615520000006</v>
      </c>
      <c r="F342" s="0" t="n">
        <v>0</v>
      </c>
      <c r="G342" s="0" t="n">
        <v>10.0015665</v>
      </c>
      <c r="H342" s="0" t="s">
        <v>163</v>
      </c>
      <c r="I342" s="2" t="b">
        <f aca="false">TRUE()</f>
        <v>1</v>
      </c>
      <c r="J342" s="0" t="str">
        <f aca="false">IF(AND(CODE(MID(B342,2,1))&gt;=97,CODE(MID(B342,2,1))&lt;=122),LEFT(B342,2),LEFT(B342,1))</f>
        <v>La</v>
      </c>
      <c r="K342" s="0" t="n">
        <f aca="false">IF(J342="","",_xlfn.XLOOKUP(TRIM(J342),Metallic_Radius_Table!A:A,Metallic_Radius_Table!B:B))</f>
        <v>1.87</v>
      </c>
      <c r="L342" s="0" t="str">
        <f aca="false">IF(ISNUMBER(SEARCH("La",B342)),"La",
 IF(ISNUMBER(SEARCH("Nd",B342)),"Nd",
 IF(ISNUMBER(SEARCH("Eu",B342)),"Eu",
 IF(ISNUMBER(SEARCH("Gd",B342)),"Gd",""))))</f>
        <v>La</v>
      </c>
      <c r="M342" s="0" t="n">
        <f aca="false">IF(L342="","",_xlfn.XLOOKUP(TRIM(L342),Metallic_Radius_Table!A:A,Metallic_Radius_Table!B:B))</f>
        <v>1.87</v>
      </c>
      <c r="N342" s="0" t="str">
        <f aca="false">TRIM(LEFT(C342,FIND(",",C342)-1))</f>
        <v>Cr</v>
      </c>
      <c r="O342" s="3" t="n">
        <f aca="false">IF(N342="","",_xlfn.XLOOKUP(TRIM(N342),Metallic_Radius_Table!A:A,Metallic_Radius_Table!B:B))</f>
        <v>1.28</v>
      </c>
      <c r="P342" s="0" t="str">
        <f aca="false">TRIM(MID(C342,FIND(",",C342)+1,5))</f>
        <v>W</v>
      </c>
      <c r="Q342" s="0" t="n">
        <f aca="false">IF(P342="","",_xlfn.XLOOKUP(TRIM(P342),Metallic_Radius_Table!A:A,Metallic_Radius_Table!B:B))</f>
        <v>1.41</v>
      </c>
      <c r="R342" s="0" t="str">
        <f aca="false">IF(G342&gt;=1,   "Ferromagnetic / Ferrimagnetic",   IF(G342&gt;=0.05,      "Paramagnetic / Weakly magnetic",      "Antiferromagnetic / Diamagnetic"))</f>
        <v>Ferromagnetic / Ferrimagnetic</v>
      </c>
      <c r="U342" s="0" t="str">
        <f aca="false">IF(G342&gt;=1,
   "FM → PM (Curie-type)",
   IF(G342&lt;0.05,
      "AFM → PM (Néel-type)",
      "No long-range magnetic transition"))</f>
        <v>FM → PM (Curie-type)</v>
      </c>
    </row>
    <row r="343" customFormat="false" ht="14.25" hidden="false" customHeight="false" outlineLevel="0" collapsed="false">
      <c r="A343" s="0" t="s">
        <v>774</v>
      </c>
      <c r="B343" s="0" t="s">
        <v>773</v>
      </c>
      <c r="C343" s="0" t="s">
        <v>134</v>
      </c>
      <c r="D343" s="0" t="n">
        <v>-2.69270640899999</v>
      </c>
      <c r="E343" s="0" t="n">
        <v>0.172594026500005</v>
      </c>
      <c r="F343" s="0" t="n">
        <v>2.16209999999999</v>
      </c>
      <c r="G343" s="0" t="n">
        <v>5.0434925</v>
      </c>
      <c r="H343" s="0" t="s">
        <v>58</v>
      </c>
      <c r="I343" s="2" t="b">
        <f aca="false">TRUE()</f>
        <v>1</v>
      </c>
      <c r="J343" s="0" t="str">
        <f aca="false">IF(AND(CODE(MID(B343,2,1))&gt;=97,CODE(MID(B343,2,1))&lt;=122),LEFT(B343,2),LEFT(B343,1))</f>
        <v>La</v>
      </c>
      <c r="K343" s="0" t="n">
        <f aca="false">IF(J343="","",_xlfn.XLOOKUP(TRIM(J343),Metallic_Radius_Table!A:A,Metallic_Radius_Table!B:B))</f>
        <v>1.87</v>
      </c>
      <c r="L343" s="0" t="str">
        <f aca="false">IF(ISNUMBER(SEARCH("La",B343)),"La",
 IF(ISNUMBER(SEARCH("Nd",B343)),"Nd",
 IF(ISNUMBER(SEARCH("Eu",B343)),"Eu",
 IF(ISNUMBER(SEARCH("Gd",B343)),"Gd",""))))</f>
        <v>La</v>
      </c>
      <c r="M343" s="0" t="n">
        <f aca="false">IF(L343="","",_xlfn.XLOOKUP(TRIM(L343),Metallic_Radius_Table!A:A,Metallic_Radius_Table!B:B))</f>
        <v>1.87</v>
      </c>
      <c r="N343" s="0" t="str">
        <f aca="false">TRIM(LEFT(C343,FIND(",",C343)-1))</f>
        <v>Cr</v>
      </c>
      <c r="O343" s="3" t="n">
        <f aca="false">IF(N343="","",_xlfn.XLOOKUP(TRIM(N343),Metallic_Radius_Table!A:A,Metallic_Radius_Table!B:B))</f>
        <v>1.28</v>
      </c>
      <c r="P343" s="0" t="str">
        <f aca="false">TRIM(MID(C343,FIND(",",C343)+1,5))</f>
        <v>W</v>
      </c>
      <c r="Q343" s="0" t="n">
        <f aca="false">IF(P343="","",_xlfn.XLOOKUP(TRIM(P343),Metallic_Radius_Table!A:A,Metallic_Radius_Table!B:B))</f>
        <v>1.41</v>
      </c>
      <c r="R343" s="0" t="str">
        <f aca="false">IF(G343&gt;=1,   "Ferromagnetic / Ferrimagnetic",   IF(G343&gt;=0.05,      "Paramagnetic / Weakly magnetic",      "Antiferromagnetic / Diamagnetic"))</f>
        <v>Ferromagnetic / Ferrimagnetic</v>
      </c>
      <c r="U343" s="0" t="str">
        <f aca="false">IF(G343&gt;=1,
   "FM → PM (Curie-type)",
   IF(G343&lt;0.05,
      "AFM → PM (Néel-type)",
      "No long-range magnetic transition"))</f>
        <v>FM → PM (Curie-type)</v>
      </c>
    </row>
    <row r="344" customFormat="false" ht="14.25" hidden="false" customHeight="false" outlineLevel="0" collapsed="false">
      <c r="A344" s="0" t="s">
        <v>775</v>
      </c>
      <c r="B344" s="0" t="s">
        <v>776</v>
      </c>
      <c r="C344" s="0" t="s">
        <v>276</v>
      </c>
      <c r="D344" s="0" t="n">
        <v>-2.190779936</v>
      </c>
      <c r="E344" s="0" t="n">
        <v>0.106999321499999</v>
      </c>
      <c r="F344" s="0" t="n">
        <v>0</v>
      </c>
      <c r="G344" s="0" t="n">
        <v>10.0066487</v>
      </c>
      <c r="H344" s="0" t="s">
        <v>163</v>
      </c>
      <c r="I344" s="2" t="b">
        <f aca="false">TRUE()</f>
        <v>1</v>
      </c>
      <c r="J344" s="0" t="str">
        <f aca="false">IF(AND(CODE(MID(B344,2,1))&gt;=97,CODE(MID(B344,2,1))&lt;=122),LEFT(B344,2),LEFT(B344,1))</f>
        <v>La</v>
      </c>
      <c r="K344" s="0" t="n">
        <f aca="false">IF(J344="","",_xlfn.XLOOKUP(TRIM(J344),Metallic_Radius_Table!A:A,Metallic_Radius_Table!B:B))</f>
        <v>1.87</v>
      </c>
      <c r="L344" s="0" t="str">
        <f aca="false">IF(ISNUMBER(SEARCH("La",B344)),"La",
 IF(ISNUMBER(SEARCH("Nd",B344)),"Nd",
 IF(ISNUMBER(SEARCH("Eu",B344)),"Eu",
 IF(ISNUMBER(SEARCH("Gd",B344)),"Gd",""))))</f>
        <v>La</v>
      </c>
      <c r="M344" s="0" t="n">
        <f aca="false">IF(L344="","",_xlfn.XLOOKUP(TRIM(L344),Metallic_Radius_Table!A:A,Metallic_Radius_Table!B:B))</f>
        <v>1.87</v>
      </c>
      <c r="N344" s="0" t="str">
        <f aca="false">TRIM(LEFT(C344,FIND(",",C344)-1))</f>
        <v>Fe</v>
      </c>
      <c r="O344" s="3" t="n">
        <f aca="false">IF(N344="","",_xlfn.XLOOKUP(TRIM(N344),Metallic_Radius_Table!A:A,Metallic_Radius_Table!B:B))</f>
        <v>1.26</v>
      </c>
      <c r="P344" s="0" t="str">
        <f aca="false">TRIM(MID(C344,FIND(",",C344)+1,5))</f>
        <v>Ni</v>
      </c>
      <c r="Q344" s="0" t="n">
        <f aca="false">IF(P344="","",_xlfn.XLOOKUP(TRIM(P344),Metallic_Radius_Table!A:A,Metallic_Radius_Table!B:B))</f>
        <v>1.24</v>
      </c>
      <c r="R344" s="0" t="str">
        <f aca="false">IF(G344&gt;=1,   "Ferromagnetic / Ferrimagnetic",   IF(G344&gt;=0.05,      "Paramagnetic / Weakly magnetic",      "Antiferromagnetic / Diamagnetic"))</f>
        <v>Ferromagnetic / Ferrimagnetic</v>
      </c>
      <c r="U344" s="0" t="str">
        <f aca="false">IF(G344&gt;=1,
   "FM → PM (Curie-type)",
   IF(G344&lt;0.05,
      "AFM → PM (Néel-type)",
      "No long-range magnetic transition"))</f>
        <v>FM → PM (Curie-type)</v>
      </c>
    </row>
    <row r="345" customFormat="false" ht="14.25" hidden="false" customHeight="false" outlineLevel="0" collapsed="false">
      <c r="A345" s="0" t="s">
        <v>777</v>
      </c>
      <c r="B345" s="0" t="s">
        <v>776</v>
      </c>
      <c r="C345" s="0" t="s">
        <v>276</v>
      </c>
      <c r="D345" s="0" t="n">
        <v>-2.187749787</v>
      </c>
      <c r="E345" s="0" t="n">
        <v>0.110029470499998</v>
      </c>
      <c r="F345" s="0" t="n">
        <v>0</v>
      </c>
      <c r="G345" s="0" t="n">
        <v>9.9962345</v>
      </c>
      <c r="H345" s="0" t="s">
        <v>58</v>
      </c>
      <c r="I345" s="2" t="b">
        <f aca="false">TRUE()</f>
        <v>1</v>
      </c>
      <c r="J345" s="0" t="str">
        <f aca="false">IF(AND(CODE(MID(B345,2,1))&gt;=97,CODE(MID(B345,2,1))&lt;=122),LEFT(B345,2),LEFT(B345,1))</f>
        <v>La</v>
      </c>
      <c r="K345" s="0" t="n">
        <f aca="false">IF(J345="","",_xlfn.XLOOKUP(TRIM(J345),Metallic_Radius_Table!A:A,Metallic_Radius_Table!B:B))</f>
        <v>1.87</v>
      </c>
      <c r="L345" s="0" t="str">
        <f aca="false">IF(ISNUMBER(SEARCH("La",B345)),"La",
 IF(ISNUMBER(SEARCH("Nd",B345)),"Nd",
 IF(ISNUMBER(SEARCH("Eu",B345)),"Eu",
 IF(ISNUMBER(SEARCH("Gd",B345)),"Gd",""))))</f>
        <v>La</v>
      </c>
      <c r="M345" s="0" t="n">
        <f aca="false">IF(L345="","",_xlfn.XLOOKUP(TRIM(L345),Metallic_Radius_Table!A:A,Metallic_Radius_Table!B:B))</f>
        <v>1.87</v>
      </c>
      <c r="N345" s="0" t="str">
        <f aca="false">TRIM(LEFT(C345,FIND(",",C345)-1))</f>
        <v>Fe</v>
      </c>
      <c r="O345" s="3" t="n">
        <f aca="false">IF(N345="","",_xlfn.XLOOKUP(TRIM(N345),Metallic_Radius_Table!A:A,Metallic_Radius_Table!B:B))</f>
        <v>1.26</v>
      </c>
      <c r="P345" s="0" t="str">
        <f aca="false">TRIM(MID(C345,FIND(",",C345)+1,5))</f>
        <v>Ni</v>
      </c>
      <c r="Q345" s="0" t="n">
        <f aca="false">IF(P345="","",_xlfn.XLOOKUP(TRIM(P345),Metallic_Radius_Table!A:A,Metallic_Radius_Table!B:B))</f>
        <v>1.24</v>
      </c>
      <c r="R345" s="0" t="str">
        <f aca="false">IF(G345&gt;=1,   "Ferromagnetic / Ferrimagnetic",   IF(G345&gt;=0.05,      "Paramagnetic / Weakly magnetic",      "Antiferromagnetic / Diamagnetic"))</f>
        <v>Ferromagnetic / Ferrimagnetic</v>
      </c>
      <c r="U345" s="0" t="str">
        <f aca="false">IF(G345&gt;=1,
   "FM → PM (Curie-type)",
   IF(G345&lt;0.05,
      "AFM → PM (Néel-type)",
      "No long-range magnetic transition"))</f>
        <v>FM → PM (Curie-type)</v>
      </c>
    </row>
    <row r="346" customFormat="false" ht="14.25" hidden="false" customHeight="false" outlineLevel="0" collapsed="false">
      <c r="A346" s="0" t="s">
        <v>778</v>
      </c>
      <c r="B346" s="0" t="s">
        <v>779</v>
      </c>
      <c r="C346" s="0" t="s">
        <v>53</v>
      </c>
      <c r="D346" s="0" t="n">
        <v>-2.62237105749999</v>
      </c>
      <c r="E346" s="0" t="n">
        <v>0.087860406499991</v>
      </c>
      <c r="F346" s="0" t="n">
        <v>2.52659999999999</v>
      </c>
      <c r="G346" s="4" t="n">
        <v>2.04E-005</v>
      </c>
      <c r="H346" s="0" t="s">
        <v>163</v>
      </c>
      <c r="I346" s="2" t="b">
        <f aca="false">TRUE()</f>
        <v>1</v>
      </c>
      <c r="J346" s="0" t="str">
        <f aca="false">IF(AND(CODE(MID(B346,2,1))&gt;=97,CODE(MID(B346,2,1))&lt;=122),LEFT(B346,2),LEFT(B346,1))</f>
        <v>La</v>
      </c>
      <c r="K346" s="0" t="n">
        <f aca="false">IF(J346="","",_xlfn.XLOOKUP(TRIM(J346),Metallic_Radius_Table!A:A,Metallic_Radius_Table!B:B))</f>
        <v>1.87</v>
      </c>
      <c r="L346" s="0" t="str">
        <f aca="false">IF(ISNUMBER(SEARCH("La",B346)),"La",
 IF(ISNUMBER(SEARCH("Nd",B346)),"Nd",
 IF(ISNUMBER(SEARCH("Eu",B346)),"Eu",
 IF(ISNUMBER(SEARCH("Gd",B346)),"Gd",""))))</f>
        <v>La</v>
      </c>
      <c r="M346" s="0" t="n">
        <f aca="false">IF(L346="","",_xlfn.XLOOKUP(TRIM(L346),Metallic_Radius_Table!A:A,Metallic_Radius_Table!B:B))</f>
        <v>1.87</v>
      </c>
      <c r="N346" s="0" t="str">
        <f aca="false">TRIM(LEFT(C346,FIND(",",C346)-1))</f>
        <v>Fe</v>
      </c>
      <c r="O346" s="3" t="n">
        <f aca="false">IF(N346="","",_xlfn.XLOOKUP(TRIM(N346),Metallic_Radius_Table!A:A,Metallic_Radius_Table!B:B))</f>
        <v>1.26</v>
      </c>
      <c r="P346" s="0" t="str">
        <f aca="false">TRIM(MID(C346,FIND(",",C346)+1,5))</f>
        <v>W</v>
      </c>
      <c r="Q346" s="0" t="n">
        <f aca="false">IF(P346="","",_xlfn.XLOOKUP(TRIM(P346),Metallic_Radius_Table!A:A,Metallic_Radius_Table!B:B))</f>
        <v>1.41</v>
      </c>
      <c r="R346" s="0" t="str">
        <f aca="false">IF(G346&gt;=1,   "Ferromagnetic / Ferrimagnetic",   IF(G346&gt;=0.05,      "Paramagnetic / Weakly magnetic",      "Antiferromagnetic / Diamagnetic"))</f>
        <v>Antiferromagnetic / Diamagnetic</v>
      </c>
      <c r="U346" s="0" t="str">
        <f aca="false">IF(G346&gt;=1,
   "FM → PM (Curie-type)",
   IF(G346&lt;0.05,
      "AFM → PM (Néel-type)",
      "No long-range magnetic transition"))</f>
        <v>AFM → PM (Néel-type)</v>
      </c>
    </row>
    <row r="347" customFormat="false" ht="14.25" hidden="false" customHeight="false" outlineLevel="0" collapsed="false">
      <c r="A347" s="0" t="s">
        <v>780</v>
      </c>
      <c r="B347" s="0" t="s">
        <v>781</v>
      </c>
      <c r="C347" s="0" t="s">
        <v>286</v>
      </c>
      <c r="D347" s="0" t="n">
        <v>-2.5313620427931</v>
      </c>
      <c r="E347" s="0" t="n">
        <v>0.17471173961667</v>
      </c>
      <c r="F347" s="0" t="n">
        <v>1.41239999999999</v>
      </c>
      <c r="G347" s="4" t="n">
        <v>3.7E-006</v>
      </c>
      <c r="H347" s="0" t="s">
        <v>163</v>
      </c>
      <c r="I347" s="2" t="b">
        <f aca="false">TRUE()</f>
        <v>1</v>
      </c>
      <c r="J347" s="0" t="str">
        <f aca="false">IF(AND(CODE(MID(B347,2,1))&gt;=97,CODE(MID(B347,2,1))&lt;=122),LEFT(B347,2),LEFT(B347,1))</f>
        <v>La</v>
      </c>
      <c r="K347" s="0" t="n">
        <f aca="false">IF(J347="","",_xlfn.XLOOKUP(TRIM(J347),Metallic_Radius_Table!A:A,Metallic_Radius_Table!B:B))</f>
        <v>1.87</v>
      </c>
      <c r="L347" s="0" t="str">
        <f aca="false">IF(ISNUMBER(SEARCH("La",B347)),"La",
 IF(ISNUMBER(SEARCH("Nd",B347)),"Nd",
 IF(ISNUMBER(SEARCH("Eu",B347)),"Eu",
 IF(ISNUMBER(SEARCH("Gd",B347)),"Gd",""))))</f>
        <v>La</v>
      </c>
      <c r="M347" s="0" t="n">
        <f aca="false">IF(L347="","",_xlfn.XLOOKUP(TRIM(L347),Metallic_Radius_Table!A:A,Metallic_Radius_Table!B:B))</f>
        <v>1.87</v>
      </c>
      <c r="N347" s="0" t="str">
        <f aca="false">TRIM(LEFT(C347,FIND(",",C347)-1))</f>
        <v>Fe</v>
      </c>
      <c r="O347" s="3" t="n">
        <f aca="false">IF(N347="","",_xlfn.XLOOKUP(TRIM(N347),Metallic_Radius_Table!A:A,Metallic_Radius_Table!B:B))</f>
        <v>1.26</v>
      </c>
      <c r="P347" s="0" t="str">
        <f aca="false">TRIM(MID(C347,FIND(",",C347)+1,5))</f>
        <v>Mn</v>
      </c>
      <c r="Q347" s="0" t="n">
        <f aca="false">IF(P347="","",_xlfn.XLOOKUP(TRIM(P347),Metallic_Radius_Table!A:A,Metallic_Radius_Table!B:B))</f>
        <v>1.27</v>
      </c>
      <c r="R347" s="0" t="str">
        <f aca="false">IF(G347&gt;=1,   "Ferromagnetic / Ferrimagnetic",   IF(G347&gt;=0.05,      "Paramagnetic / Weakly magnetic",      "Antiferromagnetic / Diamagnetic"))</f>
        <v>Antiferromagnetic / Diamagnetic</v>
      </c>
      <c r="U347" s="0" t="str">
        <f aca="false">IF(G347&gt;=1,
   "FM → PM (Curie-type)",
   IF(G347&lt;0.05,
      "AFM → PM (Néel-type)",
      "No long-range magnetic transition"))</f>
        <v>AFM → PM (Néel-type)</v>
      </c>
    </row>
    <row r="348" customFormat="false" ht="14.25" hidden="false" customHeight="false" outlineLevel="0" collapsed="false">
      <c r="A348" s="0" t="s">
        <v>782</v>
      </c>
      <c r="B348" s="0" t="s">
        <v>783</v>
      </c>
      <c r="C348" s="0" t="s">
        <v>228</v>
      </c>
      <c r="D348" s="0" t="n">
        <v>-3.04929532073333</v>
      </c>
      <c r="E348" s="0" t="n">
        <v>0.088683347749995</v>
      </c>
      <c r="F348" s="0" t="n">
        <v>3.12109999999999</v>
      </c>
      <c r="G348" s="4" t="n">
        <v>1.52E-005</v>
      </c>
      <c r="H348" s="0" t="s">
        <v>163</v>
      </c>
      <c r="I348" s="2" t="b">
        <f aca="false">TRUE()</f>
        <v>1</v>
      </c>
      <c r="J348" s="0" t="str">
        <f aca="false">IF(AND(CODE(MID(B348,2,1))&gt;=97,CODE(MID(B348,2,1))&lt;=122),LEFT(B348,2),LEFT(B348,1))</f>
        <v>La</v>
      </c>
      <c r="K348" s="0" t="n">
        <f aca="false">IF(J348="","",_xlfn.XLOOKUP(TRIM(J348),Metallic_Radius_Table!A:A,Metallic_Radius_Table!B:B))</f>
        <v>1.87</v>
      </c>
      <c r="L348" s="0" t="str">
        <f aca="false">IF(ISNUMBER(SEARCH("La",B348)),"La",
 IF(ISNUMBER(SEARCH("Nd",B348)),"Nd",
 IF(ISNUMBER(SEARCH("Eu",B348)),"Eu",
 IF(ISNUMBER(SEARCH("Gd",B348)),"Gd",""))))</f>
        <v>La</v>
      </c>
      <c r="M348" s="0" t="n">
        <f aca="false">IF(L348="","",_xlfn.XLOOKUP(TRIM(L348),Metallic_Radius_Table!A:A,Metallic_Radius_Table!B:B))</f>
        <v>1.87</v>
      </c>
      <c r="N348" s="0" t="str">
        <f aca="false">TRIM(LEFT(C348,FIND(",",C348)-1))</f>
        <v>Fe</v>
      </c>
      <c r="O348" s="3" t="n">
        <f aca="false">IF(N348="","",_xlfn.XLOOKUP(TRIM(N348),Metallic_Radius_Table!A:A,Metallic_Radius_Table!B:B))</f>
        <v>1.26</v>
      </c>
      <c r="P348" s="0" t="str">
        <f aca="false">TRIM(MID(C348,FIND(",",C348)+1,5))</f>
        <v>Ta</v>
      </c>
      <c r="Q348" s="0" t="n">
        <f aca="false">IF(P348="","",_xlfn.XLOOKUP(TRIM(P348),Metallic_Radius_Table!A:A,Metallic_Radius_Table!B:B))</f>
        <v>1.46</v>
      </c>
      <c r="R348" s="0" t="str">
        <f aca="false">IF(G348&gt;=1,   "Ferromagnetic / Ferrimagnetic",   IF(G348&gt;=0.05,      "Paramagnetic / Weakly magnetic",      "Antiferromagnetic / Diamagnetic"))</f>
        <v>Antiferromagnetic / Diamagnetic</v>
      </c>
      <c r="U348" s="0" t="str">
        <f aca="false">IF(G348&gt;=1,
   "FM → PM (Curie-type)",
   IF(G348&lt;0.05,
      "AFM → PM (Néel-type)",
      "No long-range magnetic transition"))</f>
        <v>AFM → PM (Néel-type)</v>
      </c>
    </row>
    <row r="349" customFormat="false" ht="14.25" hidden="false" customHeight="false" outlineLevel="0" collapsed="false">
      <c r="A349" s="0" t="s">
        <v>784</v>
      </c>
      <c r="B349" s="0" t="s">
        <v>785</v>
      </c>
      <c r="C349" s="0" t="s">
        <v>180</v>
      </c>
      <c r="D349" s="0" t="n">
        <v>-3.02823223858333</v>
      </c>
      <c r="E349" s="0" t="n">
        <v>0.114559864875008</v>
      </c>
      <c r="F349" s="0" t="n">
        <v>2.5232</v>
      </c>
      <c r="G349" s="4" t="n">
        <v>2.1E-006</v>
      </c>
      <c r="H349" s="0" t="s">
        <v>163</v>
      </c>
      <c r="I349" s="2" t="b">
        <f aca="false">TRUE()</f>
        <v>1</v>
      </c>
      <c r="J349" s="0" t="str">
        <f aca="false">IF(AND(CODE(MID(B349,2,1))&gt;=97,CODE(MID(B349,2,1))&lt;=122),LEFT(B349,2),LEFT(B349,1))</f>
        <v>La</v>
      </c>
      <c r="K349" s="0" t="n">
        <f aca="false">IF(J349="","",_xlfn.XLOOKUP(TRIM(J349),Metallic_Radius_Table!A:A,Metallic_Radius_Table!B:B))</f>
        <v>1.87</v>
      </c>
      <c r="L349" s="0" t="str">
        <f aca="false">IF(ISNUMBER(SEARCH("La",B349)),"La",
 IF(ISNUMBER(SEARCH("Nd",B349)),"Nd",
 IF(ISNUMBER(SEARCH("Eu",B349)),"Eu",
 IF(ISNUMBER(SEARCH("Gd",B349)),"Gd",""))))</f>
        <v>La</v>
      </c>
      <c r="M349" s="0" t="n">
        <f aca="false">IF(L349="","",_xlfn.XLOOKUP(TRIM(L349),Metallic_Radius_Table!A:A,Metallic_Radius_Table!B:B))</f>
        <v>1.87</v>
      </c>
      <c r="N349" s="0" t="str">
        <f aca="false">TRIM(LEFT(C349,FIND(",",C349)-1))</f>
        <v>Fe</v>
      </c>
      <c r="O349" s="3" t="n">
        <f aca="false">IF(N349="","",_xlfn.XLOOKUP(TRIM(N349),Metallic_Radius_Table!A:A,Metallic_Radius_Table!B:B))</f>
        <v>1.26</v>
      </c>
      <c r="P349" s="0" t="str">
        <f aca="false">TRIM(MID(C349,FIND(",",C349)+1,5))</f>
        <v>Ti</v>
      </c>
      <c r="Q349" s="0" t="n">
        <f aca="false">IF(P349="","",_xlfn.XLOOKUP(TRIM(P349),Metallic_Radius_Table!A:A,Metallic_Radius_Table!B:B))</f>
        <v>1.47</v>
      </c>
      <c r="R349" s="0" t="str">
        <f aca="false">IF(G349&gt;=1,   "Ferromagnetic / Ferrimagnetic",   IF(G349&gt;=0.05,      "Paramagnetic / Weakly magnetic",      "Antiferromagnetic / Diamagnetic"))</f>
        <v>Antiferromagnetic / Diamagnetic</v>
      </c>
      <c r="U349" s="0" t="str">
        <f aca="false">IF(G349&gt;=1,
   "FM → PM (Curie-type)",
   IF(G349&lt;0.05,
      "AFM → PM (Néel-type)",
      "No long-range magnetic transition"))</f>
        <v>AFM → PM (Néel-type)</v>
      </c>
    </row>
    <row r="350" customFormat="false" ht="14.25" hidden="false" customHeight="false" outlineLevel="0" collapsed="false">
      <c r="A350" s="0" t="s">
        <v>786</v>
      </c>
      <c r="B350" s="0" t="s">
        <v>787</v>
      </c>
      <c r="C350" s="0" t="s">
        <v>309</v>
      </c>
      <c r="D350" s="0" t="n">
        <v>-2.89061283449999</v>
      </c>
      <c r="E350" s="0" t="n">
        <v>0.120531496749991</v>
      </c>
      <c r="F350" s="0" t="n">
        <v>1.3575</v>
      </c>
      <c r="G350" s="0" t="n">
        <v>4.0018111</v>
      </c>
      <c r="H350" s="0" t="s">
        <v>163</v>
      </c>
      <c r="I350" s="2" t="b">
        <f aca="false">TRUE()</f>
        <v>1</v>
      </c>
      <c r="J350" s="0" t="str">
        <f aca="false">IF(AND(CODE(MID(B350,2,1))&gt;=97,CODE(MID(B350,2,1))&lt;=122),LEFT(B350,2),LEFT(B350,1))</f>
        <v>La</v>
      </c>
      <c r="K350" s="0" t="n">
        <f aca="false">IF(J350="","",_xlfn.XLOOKUP(TRIM(J350),Metallic_Radius_Table!A:A,Metallic_Radius_Table!B:B))</f>
        <v>1.87</v>
      </c>
      <c r="L350" s="0" t="str">
        <f aca="false">IF(ISNUMBER(SEARCH("La",B350)),"La",
 IF(ISNUMBER(SEARCH("Nd",B350)),"Nd",
 IF(ISNUMBER(SEARCH("Eu",B350)),"Eu",
 IF(ISNUMBER(SEARCH("Gd",B350)),"Gd",""))))</f>
        <v>La</v>
      </c>
      <c r="M350" s="0" t="n">
        <f aca="false">IF(L350="","",_xlfn.XLOOKUP(TRIM(L350),Metallic_Radius_Table!A:A,Metallic_Radius_Table!B:B))</f>
        <v>1.87</v>
      </c>
      <c r="N350" s="0" t="str">
        <f aca="false">TRIM(LEFT(C350,FIND(",",C350)-1))</f>
        <v>Cr</v>
      </c>
      <c r="O350" s="3" t="n">
        <f aca="false">IF(N350="","",_xlfn.XLOOKUP(TRIM(N350),Metallic_Radius_Table!A:A,Metallic_Radius_Table!B:B))</f>
        <v>1.28</v>
      </c>
      <c r="P350" s="0" t="str">
        <f aca="false">TRIM(MID(C350,FIND(",",C350)+1,5))</f>
        <v>V</v>
      </c>
      <c r="Q350" s="0" t="n">
        <f aca="false">IF(P350="","",_xlfn.XLOOKUP(TRIM(P350),Metallic_Radius_Table!A:A,Metallic_Radius_Table!B:B))</f>
        <v>1.34</v>
      </c>
      <c r="R350" s="0" t="str">
        <f aca="false">IF(G350&gt;=1,   "Ferromagnetic / Ferrimagnetic",   IF(G350&gt;=0.05,      "Paramagnetic / Weakly magnetic",      "Antiferromagnetic / Diamagnetic"))</f>
        <v>Ferromagnetic / Ferrimagnetic</v>
      </c>
      <c r="U350" s="0" t="str">
        <f aca="false">IF(G350&gt;=1,
   "FM → PM (Curie-type)",
   IF(G350&lt;0.05,
      "AFM → PM (Néel-type)",
      "No long-range magnetic transition"))</f>
        <v>FM → PM (Curie-type)</v>
      </c>
    </row>
    <row r="351" customFormat="false" ht="14.25" hidden="false" customHeight="false" outlineLevel="0" collapsed="false">
      <c r="A351" s="0" t="s">
        <v>788</v>
      </c>
      <c r="B351" s="0" t="s">
        <v>789</v>
      </c>
      <c r="C351" s="0" t="s">
        <v>241</v>
      </c>
      <c r="D351" s="0" t="n">
        <v>-2.7013500875</v>
      </c>
      <c r="E351" s="0" t="n">
        <v>0.14742966274999</v>
      </c>
      <c r="F351" s="0" t="n">
        <v>1.55319999999999</v>
      </c>
      <c r="G351" s="0" t="n">
        <v>8.0097336</v>
      </c>
      <c r="H351" s="0" t="s">
        <v>163</v>
      </c>
      <c r="I351" s="2" t="b">
        <f aca="false">TRUE()</f>
        <v>1</v>
      </c>
      <c r="J351" s="0" t="str">
        <f aca="false">IF(AND(CODE(MID(B351,2,1))&gt;=97,CODE(MID(B351,2,1))&lt;=122),LEFT(B351,2),LEFT(B351,1))</f>
        <v>La</v>
      </c>
      <c r="K351" s="0" t="n">
        <f aca="false">IF(J351="","",_xlfn.XLOOKUP(TRIM(J351),Metallic_Radius_Table!A:A,Metallic_Radius_Table!B:B))</f>
        <v>1.87</v>
      </c>
      <c r="L351" s="0" t="str">
        <f aca="false">IF(ISNUMBER(SEARCH("La",B351)),"La",
 IF(ISNUMBER(SEARCH("Nd",B351)),"Nd",
 IF(ISNUMBER(SEARCH("Eu",B351)),"Eu",
 IF(ISNUMBER(SEARCH("Gd",B351)),"Gd",""))))</f>
        <v>La</v>
      </c>
      <c r="M351" s="0" t="n">
        <f aca="false">IF(L351="","",_xlfn.XLOOKUP(TRIM(L351),Metallic_Radius_Table!A:A,Metallic_Radius_Table!B:B))</f>
        <v>1.87</v>
      </c>
      <c r="N351" s="0" t="str">
        <f aca="false">TRIM(LEFT(C351,FIND(",",C351)-1))</f>
        <v>Fe</v>
      </c>
      <c r="O351" s="3" t="n">
        <f aca="false">IF(N351="","",_xlfn.XLOOKUP(TRIM(N351),Metallic_Radius_Table!A:A,Metallic_Radius_Table!B:B))</f>
        <v>1.26</v>
      </c>
      <c r="P351" s="0" t="str">
        <f aca="false">TRIM(MID(C351,FIND(",",C351)+1,5))</f>
        <v>V</v>
      </c>
      <c r="Q351" s="0" t="n">
        <f aca="false">IF(P351="","",_xlfn.XLOOKUP(TRIM(P351),Metallic_Radius_Table!A:A,Metallic_Radius_Table!B:B))</f>
        <v>1.34</v>
      </c>
      <c r="R351" s="0" t="str">
        <f aca="false">IF(G351&gt;=1,   "Ferromagnetic / Ferrimagnetic",   IF(G351&gt;=0.05,      "Paramagnetic / Weakly magnetic",      "Antiferromagnetic / Diamagnetic"))</f>
        <v>Ferromagnetic / Ferrimagnetic</v>
      </c>
      <c r="U351" s="0" t="str">
        <f aca="false">IF(G351&gt;=1,
   "FM → PM (Curie-type)",
   IF(G351&lt;0.05,
      "AFM → PM (Néel-type)",
      "No long-range magnetic transition"))</f>
        <v>FM → PM (Curie-type)</v>
      </c>
    </row>
    <row r="352" customFormat="false" ht="14.25" hidden="false" customHeight="false" outlineLevel="0" collapsed="false">
      <c r="A352" s="0" t="s">
        <v>790</v>
      </c>
      <c r="B352" s="0" t="s">
        <v>791</v>
      </c>
      <c r="C352" s="0" t="s">
        <v>225</v>
      </c>
      <c r="D352" s="0" t="n">
        <v>-3.02457025692592</v>
      </c>
      <c r="E352" s="0" t="n">
        <v>0.133219060277772</v>
      </c>
      <c r="F352" s="0" t="n">
        <v>0.1808</v>
      </c>
      <c r="G352" s="0" t="n">
        <v>1.9998866</v>
      </c>
      <c r="H352" s="0" t="s">
        <v>58</v>
      </c>
      <c r="I352" s="2" t="b">
        <f aca="false">TRUE()</f>
        <v>1</v>
      </c>
      <c r="J352" s="0" t="str">
        <f aca="false">IF(AND(CODE(MID(B352,2,1))&gt;=97,CODE(MID(B352,2,1))&lt;=122),LEFT(B352,2),LEFT(B352,1))</f>
        <v>La</v>
      </c>
      <c r="K352" s="0" t="n">
        <f aca="false">IF(J352="","",_xlfn.XLOOKUP(TRIM(J352),Metallic_Radius_Table!A:A,Metallic_Radius_Table!B:B))</f>
        <v>1.87</v>
      </c>
      <c r="L352" s="0" t="str">
        <f aca="false">IF(ISNUMBER(SEARCH("La",B352)),"La",
 IF(ISNUMBER(SEARCH("Nd",B352)),"Nd",
 IF(ISNUMBER(SEARCH("Eu",B352)),"Eu",
 IF(ISNUMBER(SEARCH("Gd",B352)),"Gd",""))))</f>
        <v>La</v>
      </c>
      <c r="M352" s="0" t="n">
        <f aca="false">IF(L352="","",_xlfn.XLOOKUP(TRIM(L352),Metallic_Radius_Table!A:A,Metallic_Radius_Table!B:B))</f>
        <v>1.87</v>
      </c>
      <c r="N352" s="0" t="str">
        <f aca="false">TRIM(LEFT(C352,FIND(",",C352)-1))</f>
        <v>Cr</v>
      </c>
      <c r="O352" s="3" t="n">
        <f aca="false">IF(N352="","",_xlfn.XLOOKUP(TRIM(N352),Metallic_Radius_Table!A:A,Metallic_Radius_Table!B:B))</f>
        <v>1.28</v>
      </c>
      <c r="P352" s="0" t="str">
        <f aca="false">TRIM(MID(C352,FIND(",",C352)+1,5))</f>
        <v>Ta</v>
      </c>
      <c r="Q352" s="0" t="n">
        <f aca="false">IF(P352="","",_xlfn.XLOOKUP(TRIM(P352),Metallic_Radius_Table!A:A,Metallic_Radius_Table!B:B))</f>
        <v>1.46</v>
      </c>
      <c r="R352" s="0" t="str">
        <f aca="false">IF(G352&gt;=1,   "Ferromagnetic / Ferrimagnetic",   IF(G352&gt;=0.05,      "Paramagnetic / Weakly magnetic",      "Antiferromagnetic / Diamagnetic"))</f>
        <v>Ferromagnetic / Ferrimagnetic</v>
      </c>
      <c r="U352" s="0" t="str">
        <f aca="false">IF(G352&gt;=1,
   "FM → PM (Curie-type)",
   IF(G352&lt;0.05,
      "AFM → PM (Néel-type)",
      "No long-range magnetic transition"))</f>
        <v>FM → PM (Curie-type)</v>
      </c>
    </row>
    <row r="353" customFormat="false" ht="14.25" hidden="false" customHeight="false" outlineLevel="0" collapsed="false">
      <c r="A353" s="0" t="s">
        <v>792</v>
      </c>
      <c r="B353" s="0" t="s">
        <v>793</v>
      </c>
      <c r="C353" s="0" t="s">
        <v>228</v>
      </c>
      <c r="D353" s="0" t="n">
        <v>-2.78624278025925</v>
      </c>
      <c r="E353" s="0" t="n">
        <v>0.163171625555545</v>
      </c>
      <c r="F353" s="0" t="n">
        <v>0</v>
      </c>
      <c r="G353" s="0" t="n">
        <v>8.0003805</v>
      </c>
      <c r="H353" s="0" t="s">
        <v>163</v>
      </c>
      <c r="I353" s="2" t="b">
        <f aca="false">TRUE()</f>
        <v>1</v>
      </c>
      <c r="J353" s="0" t="str">
        <f aca="false">IF(AND(CODE(MID(B353,2,1))&gt;=97,CODE(MID(B353,2,1))&lt;=122),LEFT(B353,2),LEFT(B353,1))</f>
        <v>La</v>
      </c>
      <c r="K353" s="0" t="n">
        <f aca="false">IF(J353="","",_xlfn.XLOOKUP(TRIM(J353),Metallic_Radius_Table!A:A,Metallic_Radius_Table!B:B))</f>
        <v>1.87</v>
      </c>
      <c r="L353" s="0" t="str">
        <f aca="false">IF(ISNUMBER(SEARCH("La",B353)),"La",
 IF(ISNUMBER(SEARCH("Nd",B353)),"Nd",
 IF(ISNUMBER(SEARCH("Eu",B353)),"Eu",
 IF(ISNUMBER(SEARCH("Gd",B353)),"Gd",""))))</f>
        <v>La</v>
      </c>
      <c r="M353" s="0" t="n">
        <f aca="false">IF(L353="","",_xlfn.XLOOKUP(TRIM(L353),Metallic_Radius_Table!A:A,Metallic_Radius_Table!B:B))</f>
        <v>1.87</v>
      </c>
      <c r="N353" s="0" t="str">
        <f aca="false">TRIM(LEFT(C353,FIND(",",C353)-1))</f>
        <v>Fe</v>
      </c>
      <c r="O353" s="3" t="n">
        <f aca="false">IF(N353="","",_xlfn.XLOOKUP(TRIM(N353),Metallic_Radius_Table!A:A,Metallic_Radius_Table!B:B))</f>
        <v>1.26</v>
      </c>
      <c r="P353" s="0" t="str">
        <f aca="false">TRIM(MID(C353,FIND(",",C353)+1,5))</f>
        <v>Ta</v>
      </c>
      <c r="Q353" s="0" t="n">
        <f aca="false">IF(P353="","",_xlfn.XLOOKUP(TRIM(P353),Metallic_Radius_Table!A:A,Metallic_Radius_Table!B:B))</f>
        <v>1.46</v>
      </c>
      <c r="R353" s="0" t="str">
        <f aca="false">IF(G353&gt;=1,   "Ferromagnetic / Ferrimagnetic",   IF(G353&gt;=0.05,      "Paramagnetic / Weakly magnetic",      "Antiferromagnetic / Diamagnetic"))</f>
        <v>Ferromagnetic / Ferrimagnetic</v>
      </c>
      <c r="U353" s="0" t="str">
        <f aca="false">IF(G353&gt;=1,
   "FM → PM (Curie-type)",
   IF(G353&lt;0.05,
      "AFM → PM (Néel-type)",
      "No long-range magnetic transition"))</f>
        <v>FM → PM (Curie-type)</v>
      </c>
    </row>
    <row r="354" customFormat="false" ht="14.25" hidden="false" customHeight="false" outlineLevel="0" collapsed="false">
      <c r="A354" s="0" t="s">
        <v>794</v>
      </c>
      <c r="B354" s="0" t="s">
        <v>795</v>
      </c>
      <c r="C354" s="0" t="s">
        <v>796</v>
      </c>
      <c r="D354" s="0" t="n">
        <v>-3.64400492785185</v>
      </c>
      <c r="E354" s="0" t="n">
        <v>0.009943010277797</v>
      </c>
      <c r="F354" s="0" t="n">
        <v>3.3911</v>
      </c>
      <c r="G354" s="0" t="n">
        <v>0.0002459</v>
      </c>
      <c r="H354" s="0" t="s">
        <v>45</v>
      </c>
      <c r="I354" s="2" t="b">
        <f aca="false">TRUE()</f>
        <v>1</v>
      </c>
      <c r="J354" s="0" t="str">
        <f aca="false">IF(AND(CODE(MID(B354,2,1))&gt;=97,CODE(MID(B354,2,1))&lt;=122),LEFT(B354,2),LEFT(B354,1))</f>
        <v>La</v>
      </c>
      <c r="K354" s="0" t="n">
        <f aca="false">IF(J354="","",_xlfn.XLOOKUP(TRIM(J354),Metallic_Radius_Table!A:A,Metallic_Radius_Table!B:B))</f>
        <v>1.87</v>
      </c>
      <c r="L354" s="0" t="str">
        <f aca="false">IF(ISNUMBER(SEARCH("La",B354)),"La",
 IF(ISNUMBER(SEARCH("Nd",B354)),"Nd",
 IF(ISNUMBER(SEARCH("Eu",B354)),"Eu",
 IF(ISNUMBER(SEARCH("Gd",B354)),"Gd",""))))</f>
        <v>La</v>
      </c>
      <c r="M354" s="0" t="n">
        <f aca="false">IF(L354="","",_xlfn.XLOOKUP(TRIM(L354),Metallic_Radius_Table!A:A,Metallic_Radius_Table!B:B))</f>
        <v>1.87</v>
      </c>
      <c r="N354" s="0" t="str">
        <f aca="false">TRIM(LEFT(C354,FIND(",",C354)-1))</f>
        <v>Ti</v>
      </c>
      <c r="O354" s="3" t="n">
        <f aca="false">IF(N354="","",_xlfn.XLOOKUP(TRIM(N354),Metallic_Radius_Table!A:A,Metallic_Radius_Table!B:B))</f>
        <v>1.47</v>
      </c>
      <c r="P354" s="0" t="str">
        <f aca="false">TRIM(MID(C354,FIND(",",C354)+1,5))</f>
        <v>Ta</v>
      </c>
      <c r="Q354" s="0" t="n">
        <f aca="false">IF(P354="","",_xlfn.XLOOKUP(TRIM(P354),Metallic_Radius_Table!A:A,Metallic_Radius_Table!B:B))</f>
        <v>1.46</v>
      </c>
      <c r="R354" s="0" t="str">
        <f aca="false">IF(G354&gt;=1,   "Ferromagnetic / Ferrimagnetic",   IF(G354&gt;=0.05,      "Paramagnetic / Weakly magnetic",      "Antiferromagnetic / Diamagnetic"))</f>
        <v>Antiferromagnetic / Diamagnetic</v>
      </c>
      <c r="U354" s="0" t="str">
        <f aca="false">IF(G354&gt;=1,
   "FM → PM (Curie-type)",
   IF(G354&lt;0.05,
      "AFM → PM (Néel-type)",
      "No long-range magnetic transition"))</f>
        <v>AFM → PM (Néel-type)</v>
      </c>
    </row>
    <row r="355" customFormat="false" ht="14.25" hidden="false" customHeight="false" outlineLevel="0" collapsed="false">
      <c r="A355" s="0" t="s">
        <v>797</v>
      </c>
      <c r="B355" s="0" t="s">
        <v>795</v>
      </c>
      <c r="C355" s="0" t="s">
        <v>796</v>
      </c>
      <c r="D355" s="0" t="n">
        <v>-3.65394793812965</v>
      </c>
      <c r="E355" s="0" t="n">
        <v>0</v>
      </c>
      <c r="F355" s="0" t="n">
        <v>2.91879999999999</v>
      </c>
      <c r="G355" s="0" t="n">
        <v>0</v>
      </c>
      <c r="H355" s="0" t="s">
        <v>798</v>
      </c>
      <c r="I355" s="2" t="b">
        <f aca="false">TRUE()</f>
        <v>1</v>
      </c>
      <c r="J355" s="0" t="str">
        <f aca="false">IF(AND(CODE(MID(B355,2,1))&gt;=97,CODE(MID(B355,2,1))&lt;=122),LEFT(B355,2),LEFT(B355,1))</f>
        <v>La</v>
      </c>
      <c r="K355" s="0" t="n">
        <f aca="false">IF(J355="","",_xlfn.XLOOKUP(TRIM(J355),Metallic_Radius_Table!A:A,Metallic_Radius_Table!B:B))</f>
        <v>1.87</v>
      </c>
      <c r="L355" s="0" t="str">
        <f aca="false">IF(ISNUMBER(SEARCH("La",B355)),"La",
 IF(ISNUMBER(SEARCH("Nd",B355)),"Nd",
 IF(ISNUMBER(SEARCH("Eu",B355)),"Eu",
 IF(ISNUMBER(SEARCH("Gd",B355)),"Gd",""))))</f>
        <v>La</v>
      </c>
      <c r="M355" s="0" t="n">
        <f aca="false">IF(L355="","",_xlfn.XLOOKUP(TRIM(L355),Metallic_Radius_Table!A:A,Metallic_Radius_Table!B:B))</f>
        <v>1.87</v>
      </c>
      <c r="N355" s="0" t="str">
        <f aca="false">TRIM(LEFT(C355,FIND(",",C355)-1))</f>
        <v>Ti</v>
      </c>
      <c r="O355" s="3" t="n">
        <f aca="false">IF(N355="","",_xlfn.XLOOKUP(TRIM(N355),Metallic_Radius_Table!A:A,Metallic_Radius_Table!B:B))</f>
        <v>1.47</v>
      </c>
      <c r="P355" s="0" t="str">
        <f aca="false">TRIM(MID(C355,FIND(",",C355)+1,5))</f>
        <v>Ta</v>
      </c>
      <c r="Q355" s="0" t="n">
        <f aca="false">IF(P355="","",_xlfn.XLOOKUP(TRIM(P355),Metallic_Radius_Table!A:A,Metallic_Radius_Table!B:B))</f>
        <v>1.46</v>
      </c>
      <c r="R355" s="0" t="str">
        <f aca="false">IF(G355&gt;=1,   "Ferromagnetic / Ferrimagnetic",   IF(G355&gt;=0.05,      "Paramagnetic / Weakly magnetic",      "Antiferromagnetic / Diamagnetic"))</f>
        <v>Antiferromagnetic / Diamagnetic</v>
      </c>
      <c r="U355" s="0" t="str">
        <f aca="false">IF(G355&gt;=1,
   "FM → PM (Curie-type)",
   IF(G355&lt;0.05,
      "AFM → PM (Néel-type)",
      "No long-range magnetic transition"))</f>
        <v>AFM → PM (Néel-type)</v>
      </c>
    </row>
    <row r="356" customFormat="false" ht="14.25" hidden="false" customHeight="false" outlineLevel="0" collapsed="false">
      <c r="A356" s="0" t="s">
        <v>799</v>
      </c>
      <c r="B356" s="0" t="s">
        <v>800</v>
      </c>
      <c r="C356" s="0" t="s">
        <v>175</v>
      </c>
      <c r="D356" s="0" t="n">
        <v>-2.85131926759259</v>
      </c>
      <c r="E356" s="0" t="n">
        <v>0.171316580000002</v>
      </c>
      <c r="F356" s="0" t="n">
        <v>0.1022</v>
      </c>
      <c r="G356" s="0" t="n">
        <v>1.99880479999999</v>
      </c>
      <c r="H356" s="0" t="s">
        <v>163</v>
      </c>
      <c r="I356" s="2" t="b">
        <f aca="false">TRUE()</f>
        <v>1</v>
      </c>
      <c r="J356" s="0" t="str">
        <f aca="false">IF(AND(CODE(MID(B356,2,1))&gt;=97,CODE(MID(B356,2,1))&lt;=122),LEFT(B356,2),LEFT(B356,1))</f>
        <v>La</v>
      </c>
      <c r="K356" s="0" t="n">
        <f aca="false">IF(J356="","",_xlfn.XLOOKUP(TRIM(J356),Metallic_Radius_Table!A:A,Metallic_Radius_Table!B:B))</f>
        <v>1.87</v>
      </c>
      <c r="L356" s="0" t="str">
        <f aca="false">IF(ISNUMBER(SEARCH("La",B356)),"La",
 IF(ISNUMBER(SEARCH("Nd",B356)),"Nd",
 IF(ISNUMBER(SEARCH("Eu",B356)),"Eu",
 IF(ISNUMBER(SEARCH("Gd",B356)),"Gd",""))))</f>
        <v>La</v>
      </c>
      <c r="M356" s="0" t="n">
        <f aca="false">IF(L356="","",_xlfn.XLOOKUP(TRIM(L356),Metallic_Radius_Table!A:A,Metallic_Radius_Table!B:B))</f>
        <v>1.87</v>
      </c>
      <c r="N356" s="0" t="str">
        <f aca="false">TRIM(LEFT(C356,FIND(",",C356)-1))</f>
        <v>Cr</v>
      </c>
      <c r="O356" s="3" t="n">
        <f aca="false">IF(N356="","",_xlfn.XLOOKUP(TRIM(N356),Metallic_Radius_Table!A:A,Metallic_Radius_Table!B:B))</f>
        <v>1.28</v>
      </c>
      <c r="P356" s="0" t="str">
        <f aca="false">TRIM(MID(C356,FIND(",",C356)+1,5))</f>
        <v>Ti</v>
      </c>
      <c r="Q356" s="0" t="n">
        <f aca="false">IF(P356="","",_xlfn.XLOOKUP(TRIM(P356),Metallic_Radius_Table!A:A,Metallic_Radius_Table!B:B))</f>
        <v>1.47</v>
      </c>
      <c r="R356" s="0" t="str">
        <f aca="false">IF(G356&gt;=1,   "Ferromagnetic / Ferrimagnetic",   IF(G356&gt;=0.05,      "Paramagnetic / Weakly magnetic",      "Antiferromagnetic / Diamagnetic"))</f>
        <v>Ferromagnetic / Ferrimagnetic</v>
      </c>
      <c r="U356" s="0" t="str">
        <f aca="false">IF(G356&gt;=1,
   "FM → PM (Curie-type)",
   IF(G356&lt;0.05,
      "AFM → PM (Néel-type)",
      "No long-range magnetic transition"))</f>
        <v>FM → PM (Curie-type)</v>
      </c>
    </row>
    <row r="357" customFormat="false" ht="14.25" hidden="false" customHeight="false" outlineLevel="0" collapsed="false">
      <c r="A357" s="0" t="s">
        <v>801</v>
      </c>
      <c r="B357" s="0" t="s">
        <v>802</v>
      </c>
      <c r="C357" s="0" t="s">
        <v>185</v>
      </c>
      <c r="D357" s="0" t="n">
        <v>-3.51885273148148</v>
      </c>
      <c r="E357" s="0" t="n">
        <v>0.022627625277781</v>
      </c>
      <c r="F357" s="0" t="n">
        <v>0.000399999999999</v>
      </c>
      <c r="G357" s="4" t="n">
        <v>1.09E-005</v>
      </c>
      <c r="H357" s="0" t="s">
        <v>45</v>
      </c>
      <c r="I357" s="2" t="b">
        <f aca="false">TRUE()</f>
        <v>1</v>
      </c>
      <c r="J357" s="0" t="str">
        <f aca="false">IF(AND(CODE(MID(B357,2,1))&gt;=97,CODE(MID(B357,2,1))&lt;=122),LEFT(B357,2),LEFT(B357,1))</f>
        <v>La</v>
      </c>
      <c r="K357" s="0" t="n">
        <f aca="false">IF(J357="","",_xlfn.XLOOKUP(TRIM(J357),Metallic_Radius_Table!A:A,Metallic_Radius_Table!B:B))</f>
        <v>1.87</v>
      </c>
      <c r="L357" s="0" t="str">
        <f aca="false">IF(ISNUMBER(SEARCH("La",B357)),"La",
 IF(ISNUMBER(SEARCH("Nd",B357)),"Nd",
 IF(ISNUMBER(SEARCH("Eu",B357)),"Eu",
 IF(ISNUMBER(SEARCH("Gd",B357)),"Gd",""))))</f>
        <v>La</v>
      </c>
      <c r="M357" s="0" t="n">
        <f aca="false">IF(L357="","",_xlfn.XLOOKUP(TRIM(L357),Metallic_Radius_Table!A:A,Metallic_Radius_Table!B:B))</f>
        <v>1.87</v>
      </c>
      <c r="N357" s="0" t="str">
        <f aca="false">TRIM(LEFT(C357,FIND(",",C357)-1))</f>
        <v>Nb</v>
      </c>
      <c r="O357" s="3" t="n">
        <f aca="false">IF(N357="","",_xlfn.XLOOKUP(TRIM(N357),Metallic_Radius_Table!A:A,Metallic_Radius_Table!B:B))</f>
        <v>1.46</v>
      </c>
      <c r="P357" s="0" t="str">
        <f aca="false">TRIM(MID(C357,FIND(",",C357)+1,5))</f>
        <v>Ti</v>
      </c>
      <c r="Q357" s="0" t="n">
        <f aca="false">IF(P357="","",_xlfn.XLOOKUP(TRIM(P357),Metallic_Radius_Table!A:A,Metallic_Radius_Table!B:B))</f>
        <v>1.47</v>
      </c>
      <c r="R357" s="0" t="str">
        <f aca="false">IF(G357&gt;=1,   "Ferromagnetic / Ferrimagnetic",   IF(G357&gt;=0.05,      "Paramagnetic / Weakly magnetic",      "Antiferromagnetic / Diamagnetic"))</f>
        <v>Antiferromagnetic / Diamagnetic</v>
      </c>
      <c r="U357" s="0" t="str">
        <f aca="false">IF(G357&gt;=1,
   "FM → PM (Curie-type)",
   IF(G357&lt;0.05,
      "AFM → PM (Néel-type)",
      "No long-range magnetic transition"))</f>
        <v>AFM → PM (Néel-type)</v>
      </c>
    </row>
    <row r="358" customFormat="false" ht="14.25" hidden="false" customHeight="false" outlineLevel="0" collapsed="false">
      <c r="A358" s="0" t="s">
        <v>803</v>
      </c>
      <c r="B358" s="0" t="s">
        <v>802</v>
      </c>
      <c r="C358" s="0" t="s">
        <v>185</v>
      </c>
      <c r="D358" s="0" t="n">
        <v>-3.52881241453703</v>
      </c>
      <c r="E358" s="0" t="n">
        <v>0.012667942222226</v>
      </c>
      <c r="F358" s="0" t="n">
        <v>2.7987</v>
      </c>
      <c r="G358" s="0" t="n">
        <v>0.0021154</v>
      </c>
      <c r="H358" s="0" t="s">
        <v>798</v>
      </c>
      <c r="I358" s="2" t="b">
        <f aca="false">TRUE()</f>
        <v>1</v>
      </c>
      <c r="J358" s="0" t="str">
        <f aca="false">IF(AND(CODE(MID(B358,2,1))&gt;=97,CODE(MID(B358,2,1))&lt;=122),LEFT(B358,2),LEFT(B358,1))</f>
        <v>La</v>
      </c>
      <c r="K358" s="0" t="n">
        <f aca="false">IF(J358="","",_xlfn.XLOOKUP(TRIM(J358),Metallic_Radius_Table!A:A,Metallic_Radius_Table!B:B))</f>
        <v>1.87</v>
      </c>
      <c r="L358" s="0" t="str">
        <f aca="false">IF(ISNUMBER(SEARCH("La",B358)),"La",
 IF(ISNUMBER(SEARCH("Nd",B358)),"Nd",
 IF(ISNUMBER(SEARCH("Eu",B358)),"Eu",
 IF(ISNUMBER(SEARCH("Gd",B358)),"Gd",""))))</f>
        <v>La</v>
      </c>
      <c r="M358" s="0" t="n">
        <f aca="false">IF(L358="","",_xlfn.XLOOKUP(TRIM(L358),Metallic_Radius_Table!A:A,Metallic_Radius_Table!B:B))</f>
        <v>1.87</v>
      </c>
      <c r="N358" s="0" t="str">
        <f aca="false">TRIM(LEFT(C358,FIND(",",C358)-1))</f>
        <v>Nb</v>
      </c>
      <c r="O358" s="3" t="n">
        <f aca="false">IF(N358="","",_xlfn.XLOOKUP(TRIM(N358),Metallic_Radius_Table!A:A,Metallic_Radius_Table!B:B))</f>
        <v>1.46</v>
      </c>
      <c r="P358" s="0" t="str">
        <f aca="false">TRIM(MID(C358,FIND(",",C358)+1,5))</f>
        <v>Ti</v>
      </c>
      <c r="Q358" s="0" t="n">
        <f aca="false">IF(P358="","",_xlfn.XLOOKUP(TRIM(P358),Metallic_Radius_Table!A:A,Metallic_Radius_Table!B:B))</f>
        <v>1.47</v>
      </c>
      <c r="R358" s="0" t="str">
        <f aca="false">IF(G358&gt;=1,   "Ferromagnetic / Ferrimagnetic",   IF(G358&gt;=0.05,      "Paramagnetic / Weakly magnetic",      "Antiferromagnetic / Diamagnetic"))</f>
        <v>Antiferromagnetic / Diamagnetic</v>
      </c>
      <c r="U358" s="0" t="str">
        <f aca="false">IF(G358&gt;=1,
   "FM → PM (Curie-type)",
   IF(G358&lt;0.05,
      "AFM → PM (Néel-type)",
      "No long-range magnetic transition"))</f>
        <v>AFM → PM (Néel-type)</v>
      </c>
    </row>
    <row r="359" customFormat="false" ht="14.25" hidden="false" customHeight="false" outlineLevel="0" collapsed="false">
      <c r="A359" s="0" t="s">
        <v>804</v>
      </c>
      <c r="B359" s="0" t="s">
        <v>805</v>
      </c>
      <c r="C359" s="0" t="s">
        <v>53</v>
      </c>
      <c r="D359" s="0" t="n">
        <v>-2.56948731613793</v>
      </c>
      <c r="E359" s="0" t="n">
        <v>0</v>
      </c>
      <c r="F359" s="0" t="n">
        <v>2.2965</v>
      </c>
      <c r="G359" s="0" t="n">
        <v>8.0002479</v>
      </c>
      <c r="H359" s="0" t="s">
        <v>634</v>
      </c>
      <c r="I359" s="2" t="b">
        <f aca="false">TRUE()</f>
        <v>1</v>
      </c>
      <c r="J359" s="0" t="str">
        <f aca="false">IF(AND(CODE(MID(B359,2,1))&gt;=97,CODE(MID(B359,2,1))&lt;=122),LEFT(B359,2),LEFT(B359,1))</f>
        <v>Na</v>
      </c>
      <c r="K359" s="0" t="n">
        <f aca="false">IF(J359="","",_xlfn.XLOOKUP(TRIM(J359),Metallic_Radius_Table!A:A,Metallic_Radius_Table!B:B))</f>
        <v>1.86</v>
      </c>
      <c r="L359" s="0" t="str">
        <f aca="false">IF(ISNUMBER(SEARCH("La",B359)),"La",
 IF(ISNUMBER(SEARCH("Nd",B359)),"Nd",
 IF(ISNUMBER(SEARCH("Eu",B359)),"Eu",
 IF(ISNUMBER(SEARCH("Gd",B359)),"Gd",""))))</f>
        <v>La</v>
      </c>
      <c r="M359" s="0" t="n">
        <f aca="false">IF(L359="","",_xlfn.XLOOKUP(TRIM(L359),Metallic_Radius_Table!A:A,Metallic_Radius_Table!B:B))</f>
        <v>1.87</v>
      </c>
      <c r="N359" s="0" t="str">
        <f aca="false">TRIM(LEFT(C359,FIND(",",C359)-1))</f>
        <v>Fe</v>
      </c>
      <c r="O359" s="3" t="n">
        <f aca="false">IF(N359="","",_xlfn.XLOOKUP(TRIM(N359),Metallic_Radius_Table!A:A,Metallic_Radius_Table!B:B))</f>
        <v>1.26</v>
      </c>
      <c r="P359" s="0" t="str">
        <f aca="false">TRIM(MID(C359,FIND(",",C359)+1,5))</f>
        <v>W</v>
      </c>
      <c r="Q359" s="0" t="n">
        <f aca="false">IF(P359="","",_xlfn.XLOOKUP(TRIM(P359),Metallic_Radius_Table!A:A,Metallic_Radius_Table!B:B))</f>
        <v>1.41</v>
      </c>
      <c r="R359" s="0" t="str">
        <f aca="false">IF(G359&gt;=1,   "Ferromagnetic / Ferrimagnetic",   IF(G359&gt;=0.05,      "Paramagnetic / Weakly magnetic",      "Antiferromagnetic / Diamagnetic"))</f>
        <v>Ferromagnetic / Ferrimagnetic</v>
      </c>
      <c r="U359" s="0" t="str">
        <f aca="false">IF(G359&gt;=1,
   "FM → PM (Curie-type)",
   IF(G359&lt;0.05,
      "AFM → PM (Néel-type)",
      "No long-range magnetic transition"))</f>
        <v>FM → PM (Curie-type)</v>
      </c>
    </row>
    <row r="360" customFormat="false" ht="14.25" hidden="false" customHeight="false" outlineLevel="0" collapsed="false">
      <c r="A360" s="0" t="s">
        <v>806</v>
      </c>
      <c r="B360" s="0" t="s">
        <v>807</v>
      </c>
      <c r="C360" s="0" t="s">
        <v>114</v>
      </c>
      <c r="D360" s="0" t="n">
        <v>-3.28701834663793</v>
      </c>
      <c r="E360" s="0" t="n">
        <v>0.151982040000001</v>
      </c>
      <c r="F360" s="0" t="n">
        <v>0</v>
      </c>
      <c r="G360" s="0" t="n">
        <v>0.0029676</v>
      </c>
      <c r="H360" s="0" t="s">
        <v>111</v>
      </c>
      <c r="I360" s="2" t="b">
        <f aca="false">TRUE()</f>
        <v>1</v>
      </c>
      <c r="J360" s="0" t="str">
        <f aca="false">IF(AND(CODE(MID(B360,2,1))&gt;=97,CODE(MID(B360,2,1))&lt;=122),LEFT(B360,2),LEFT(B360,1))</f>
        <v>Na</v>
      </c>
      <c r="K360" s="0" t="n">
        <f aca="false">IF(J360="","",_xlfn.XLOOKUP(TRIM(J360),Metallic_Radius_Table!A:A,Metallic_Radius_Table!B:B))</f>
        <v>1.86</v>
      </c>
      <c r="L360" s="0" t="str">
        <f aca="false">IF(ISNUMBER(SEARCH("La",B360)),"La",
 IF(ISNUMBER(SEARCH("Nd",B360)),"Nd",
 IF(ISNUMBER(SEARCH("Eu",B360)),"Eu",
 IF(ISNUMBER(SEARCH("Gd",B360)),"Gd",""))))</f>
        <v>La</v>
      </c>
      <c r="M360" s="0" t="n">
        <f aca="false">IF(L360="","",_xlfn.XLOOKUP(TRIM(L360),Metallic_Radius_Table!A:A,Metallic_Radius_Table!B:B))</f>
        <v>1.87</v>
      </c>
      <c r="N360" s="0" t="str">
        <f aca="false">TRIM(LEFT(C360,FIND(",",C360)-1))</f>
        <v>Nb</v>
      </c>
      <c r="O360" s="3" t="n">
        <f aca="false">IF(N360="","",_xlfn.XLOOKUP(TRIM(N360),Metallic_Radius_Table!A:A,Metallic_Radius_Table!B:B))</f>
        <v>1.46</v>
      </c>
      <c r="P360" s="0" t="str">
        <f aca="false">TRIM(MID(C360,FIND(",",C360)+1,5))</f>
        <v>Hf</v>
      </c>
      <c r="Q360" s="0" t="n">
        <f aca="false">IF(P360="","",_xlfn.XLOOKUP(TRIM(P360),Metallic_Radius_Table!A:A,Metallic_Radius_Table!B:B))</f>
        <v>1.59</v>
      </c>
      <c r="R360" s="0" t="str">
        <f aca="false">IF(G360&gt;=1,   "Ferromagnetic / Ferrimagnetic",   IF(G360&gt;=0.05,      "Paramagnetic / Weakly magnetic",      "Antiferromagnetic / Diamagnetic"))</f>
        <v>Antiferromagnetic / Diamagnetic</v>
      </c>
      <c r="U360" s="0" t="str">
        <f aca="false">IF(G360&gt;=1,
   "FM → PM (Curie-type)",
   IF(G360&lt;0.05,
      "AFM → PM (Néel-type)",
      "No long-range magnetic transition"))</f>
        <v>AFM → PM (Néel-type)</v>
      </c>
    </row>
    <row r="361" customFormat="false" ht="14.25" hidden="false" customHeight="false" outlineLevel="0" collapsed="false">
      <c r="A361" s="0" t="s">
        <v>808</v>
      </c>
      <c r="B361" s="0" t="s">
        <v>809</v>
      </c>
      <c r="C361" s="0" t="s">
        <v>148</v>
      </c>
      <c r="D361" s="0" t="n">
        <v>-3.49507909797126</v>
      </c>
      <c r="E361" s="0" t="n">
        <v>0.092964898599978</v>
      </c>
      <c r="F361" s="0" t="n">
        <v>2.35929999999999</v>
      </c>
      <c r="G361" s="0" t="n">
        <v>0</v>
      </c>
      <c r="H361" s="0" t="s">
        <v>111</v>
      </c>
      <c r="I361" s="2" t="b">
        <f aca="false">TRUE()</f>
        <v>1</v>
      </c>
      <c r="J361" s="0" t="str">
        <f aca="false">IF(AND(CODE(MID(B361,2,1))&gt;=97,CODE(MID(B361,2,1))&lt;=122),LEFT(B361,2),LEFT(B361,1))</f>
        <v>Na</v>
      </c>
      <c r="K361" s="0" t="n">
        <f aca="false">IF(J361="","",_xlfn.XLOOKUP(TRIM(J361),Metallic_Radius_Table!A:A,Metallic_Radius_Table!B:B))</f>
        <v>1.86</v>
      </c>
      <c r="L361" s="0" t="str">
        <f aca="false">IF(ISNUMBER(SEARCH("La",B361)),"La",
 IF(ISNUMBER(SEARCH("Nd",B361)),"Nd",
 IF(ISNUMBER(SEARCH("Eu",B361)),"Eu",
 IF(ISNUMBER(SEARCH("Gd",B361)),"Gd",""))))</f>
        <v>La</v>
      </c>
      <c r="M361" s="0" t="n">
        <f aca="false">IF(L361="","",_xlfn.XLOOKUP(TRIM(L361),Metallic_Radius_Table!A:A,Metallic_Radius_Table!B:B))</f>
        <v>1.87</v>
      </c>
      <c r="N361" s="0" t="str">
        <f aca="false">TRIM(LEFT(C361,FIND(",",C361)-1))</f>
        <v>Hf</v>
      </c>
      <c r="O361" s="3" t="n">
        <f aca="false">IF(N361="","",_xlfn.XLOOKUP(TRIM(N361),Metallic_Radius_Table!A:A,Metallic_Radius_Table!B:B))</f>
        <v>1.59</v>
      </c>
      <c r="P361" s="0" t="str">
        <f aca="false">TRIM(MID(C361,FIND(",",C361)+1,5))</f>
        <v>Ti</v>
      </c>
      <c r="Q361" s="0" t="n">
        <f aca="false">IF(P361="","",_xlfn.XLOOKUP(TRIM(P361),Metallic_Radius_Table!A:A,Metallic_Radius_Table!B:B))</f>
        <v>1.47</v>
      </c>
      <c r="R361" s="0" t="str">
        <f aca="false">IF(G361&gt;=1,   "Ferromagnetic / Ferrimagnetic",   IF(G361&gt;=0.05,      "Paramagnetic / Weakly magnetic",      "Antiferromagnetic / Diamagnetic"))</f>
        <v>Antiferromagnetic / Diamagnetic</v>
      </c>
      <c r="U361" s="0" t="str">
        <f aca="false">IF(G361&gt;=1,
   "FM → PM (Curie-type)",
   IF(G361&lt;0.05,
      "AFM → PM (Néel-type)",
      "No long-range magnetic transition"))</f>
        <v>AFM → PM (Néel-type)</v>
      </c>
    </row>
    <row r="362" customFormat="false" ht="14.25" hidden="false" customHeight="false" outlineLevel="0" collapsed="false">
      <c r="A362" s="0" t="s">
        <v>810</v>
      </c>
      <c r="B362" s="0" t="s">
        <v>811</v>
      </c>
      <c r="C362" s="0" t="s">
        <v>120</v>
      </c>
      <c r="D362" s="0" t="n">
        <v>-3.49998471163793</v>
      </c>
      <c r="E362" s="0" t="n">
        <v>0.15511664025</v>
      </c>
      <c r="F362" s="0" t="n">
        <v>2.4644</v>
      </c>
      <c r="G362" s="0" t="n">
        <v>0</v>
      </c>
      <c r="H362" s="0" t="s">
        <v>111</v>
      </c>
      <c r="I362" s="2" t="b">
        <f aca="false">TRUE()</f>
        <v>1</v>
      </c>
      <c r="J362" s="0" t="str">
        <f aca="false">IF(AND(CODE(MID(B362,2,1))&gt;=97,CODE(MID(B362,2,1))&lt;=122),LEFT(B362,2),LEFT(B362,1))</f>
        <v>Na</v>
      </c>
      <c r="K362" s="0" t="n">
        <f aca="false">IF(J362="","",_xlfn.XLOOKUP(TRIM(J362),Metallic_Radius_Table!A:A,Metallic_Radius_Table!B:B))</f>
        <v>1.86</v>
      </c>
      <c r="L362" s="0" t="str">
        <f aca="false">IF(ISNUMBER(SEARCH("La",B362)),"La",
 IF(ISNUMBER(SEARCH("Nd",B362)),"Nd",
 IF(ISNUMBER(SEARCH("Eu",B362)),"Eu",
 IF(ISNUMBER(SEARCH("Gd",B362)),"Gd",""))))</f>
        <v>La</v>
      </c>
      <c r="M362" s="0" t="n">
        <f aca="false">IF(L362="","",_xlfn.XLOOKUP(TRIM(L362),Metallic_Radius_Table!A:A,Metallic_Radius_Table!B:B))</f>
        <v>1.87</v>
      </c>
      <c r="N362" s="0" t="str">
        <f aca="false">TRIM(LEFT(C362,FIND(",",C362)-1))</f>
        <v>Zr</v>
      </c>
      <c r="O362" s="3" t="n">
        <f aca="false">IF(N362="","",_xlfn.XLOOKUP(TRIM(N362),Metallic_Radius_Table!A:A,Metallic_Radius_Table!B:B))</f>
        <v>1.6</v>
      </c>
      <c r="P362" s="0" t="str">
        <f aca="false">TRIM(MID(C362,FIND(",",C362)+1,5))</f>
        <v>Hf</v>
      </c>
      <c r="Q362" s="0" t="n">
        <f aca="false">IF(P362="","",_xlfn.XLOOKUP(TRIM(P362),Metallic_Radius_Table!A:A,Metallic_Radius_Table!B:B))</f>
        <v>1.59</v>
      </c>
      <c r="R362" s="0" t="str">
        <f aca="false">IF(G362&gt;=1,   "Ferromagnetic / Ferrimagnetic",   IF(G362&gt;=0.05,      "Paramagnetic / Weakly magnetic",      "Antiferromagnetic / Diamagnetic"))</f>
        <v>Antiferromagnetic / Diamagnetic</v>
      </c>
      <c r="U362" s="0" t="str">
        <f aca="false">IF(G362&gt;=1,
   "FM → PM (Curie-type)",
   IF(G362&lt;0.05,
      "AFM → PM (Néel-type)",
      "No long-range magnetic transition"))</f>
        <v>AFM → PM (Néel-type)</v>
      </c>
    </row>
    <row r="363" customFormat="false" ht="14.25" hidden="false" customHeight="false" outlineLevel="0" collapsed="false">
      <c r="A363" s="0" t="s">
        <v>812</v>
      </c>
      <c r="B363" s="0" t="s">
        <v>813</v>
      </c>
      <c r="C363" s="0" t="s">
        <v>79</v>
      </c>
      <c r="D363" s="0" t="n">
        <v>-2.55153203343103</v>
      </c>
      <c r="E363" s="0" t="n">
        <v>0.1311393405</v>
      </c>
      <c r="F363" s="0" t="n">
        <v>1.01879999999999</v>
      </c>
      <c r="G363" s="0" t="n">
        <v>5.0000006</v>
      </c>
      <c r="H363" s="0" t="s">
        <v>111</v>
      </c>
      <c r="I363" s="2" t="b">
        <f aca="false">TRUE()</f>
        <v>1</v>
      </c>
      <c r="J363" s="0" t="str">
        <f aca="false">IF(AND(CODE(MID(B363,2,1))&gt;=97,CODE(MID(B363,2,1))&lt;=122),LEFT(B363,2),LEFT(B363,1))</f>
        <v>Na</v>
      </c>
      <c r="K363" s="0" t="n">
        <f aca="false">IF(J363="","",_xlfn.XLOOKUP(TRIM(J363),Metallic_Radius_Table!A:A,Metallic_Radius_Table!B:B))</f>
        <v>1.86</v>
      </c>
      <c r="L363" s="0" t="str">
        <f aca="false">IF(ISNUMBER(SEARCH("La",B363)),"La",
 IF(ISNUMBER(SEARCH("Nd",B363)),"Nd",
 IF(ISNUMBER(SEARCH("Eu",B363)),"Eu",
 IF(ISNUMBER(SEARCH("Gd",B363)),"Gd",""))))</f>
        <v>La</v>
      </c>
      <c r="M363" s="0" t="n">
        <f aca="false">IF(L363="","",_xlfn.XLOOKUP(TRIM(L363),Metallic_Radius_Table!A:A,Metallic_Radius_Table!B:B))</f>
        <v>1.87</v>
      </c>
      <c r="N363" s="0" t="str">
        <f aca="false">TRIM(LEFT(C363,FIND(",",C363)-1))</f>
        <v>Mn</v>
      </c>
      <c r="O363" s="3" t="n">
        <f aca="false">IF(N363="","",_xlfn.XLOOKUP(TRIM(N363),Metallic_Radius_Table!A:A,Metallic_Radius_Table!B:B))</f>
        <v>1.27</v>
      </c>
      <c r="P363" s="0" t="str">
        <f aca="false">TRIM(MID(C363,FIND(",",C363)+1,5))</f>
        <v>W</v>
      </c>
      <c r="Q363" s="0" t="n">
        <f aca="false">IF(P363="","",_xlfn.XLOOKUP(TRIM(P363),Metallic_Radius_Table!A:A,Metallic_Radius_Table!B:B))</f>
        <v>1.41</v>
      </c>
      <c r="R363" s="0" t="str">
        <f aca="false">IF(G363&gt;=1,   "Ferromagnetic / Ferrimagnetic",   IF(G363&gt;=0.05,      "Paramagnetic / Weakly magnetic",      "Antiferromagnetic / Diamagnetic"))</f>
        <v>Ferromagnetic / Ferrimagnetic</v>
      </c>
      <c r="U363" s="0" t="str">
        <f aca="false">IF(G363&gt;=1,
   "FM → PM (Curie-type)",
   IF(G363&lt;0.05,
      "AFM → PM (Néel-type)",
      "No long-range magnetic transition"))</f>
        <v>FM → PM (Curie-type)</v>
      </c>
    </row>
    <row r="364" customFormat="false" ht="14.25" hidden="false" customHeight="false" outlineLevel="0" collapsed="false">
      <c r="A364" s="0" t="s">
        <v>814</v>
      </c>
      <c r="B364" s="0" t="s">
        <v>813</v>
      </c>
      <c r="C364" s="0" t="s">
        <v>79</v>
      </c>
      <c r="D364" s="0" t="n">
        <v>-2.68267137393103</v>
      </c>
      <c r="E364" s="0" t="n">
        <v>0</v>
      </c>
      <c r="F364" s="0" t="n">
        <v>2.0322</v>
      </c>
      <c r="G364" s="0" t="n">
        <v>9.9995231</v>
      </c>
      <c r="H364" s="0" t="s">
        <v>634</v>
      </c>
      <c r="I364" s="2" t="b">
        <f aca="false">TRUE()</f>
        <v>1</v>
      </c>
      <c r="J364" s="0" t="str">
        <f aca="false">IF(AND(CODE(MID(B364,2,1))&gt;=97,CODE(MID(B364,2,1))&lt;=122),LEFT(B364,2),LEFT(B364,1))</f>
        <v>Na</v>
      </c>
      <c r="K364" s="0" t="n">
        <f aca="false">IF(J364="","",_xlfn.XLOOKUP(TRIM(J364),Metallic_Radius_Table!A:A,Metallic_Radius_Table!B:B))</f>
        <v>1.86</v>
      </c>
      <c r="L364" s="0" t="str">
        <f aca="false">IF(ISNUMBER(SEARCH("La",B364)),"La",
 IF(ISNUMBER(SEARCH("Nd",B364)),"Nd",
 IF(ISNUMBER(SEARCH("Eu",B364)),"Eu",
 IF(ISNUMBER(SEARCH("Gd",B364)),"Gd",""))))</f>
        <v>La</v>
      </c>
      <c r="M364" s="0" t="n">
        <f aca="false">IF(L364="","",_xlfn.XLOOKUP(TRIM(L364),Metallic_Radius_Table!A:A,Metallic_Radius_Table!B:B))</f>
        <v>1.87</v>
      </c>
      <c r="N364" s="0" t="str">
        <f aca="false">TRIM(LEFT(C364,FIND(",",C364)-1))</f>
        <v>Mn</v>
      </c>
      <c r="O364" s="3" t="n">
        <f aca="false">IF(N364="","",_xlfn.XLOOKUP(TRIM(N364),Metallic_Radius_Table!A:A,Metallic_Radius_Table!B:B))</f>
        <v>1.27</v>
      </c>
      <c r="P364" s="0" t="str">
        <f aca="false">TRIM(MID(C364,FIND(",",C364)+1,5))</f>
        <v>W</v>
      </c>
      <c r="Q364" s="0" t="n">
        <f aca="false">IF(P364="","",_xlfn.XLOOKUP(TRIM(P364),Metallic_Radius_Table!A:A,Metallic_Radius_Table!B:B))</f>
        <v>1.41</v>
      </c>
      <c r="R364" s="0" t="str">
        <f aca="false">IF(G364&gt;=1,   "Ferromagnetic / Ferrimagnetic",   IF(G364&gt;=0.05,      "Paramagnetic / Weakly magnetic",      "Antiferromagnetic / Diamagnetic"))</f>
        <v>Ferromagnetic / Ferrimagnetic</v>
      </c>
      <c r="U364" s="0" t="str">
        <f aca="false">IF(G364&gt;=1,
   "FM → PM (Curie-type)",
   IF(G364&lt;0.05,
      "AFM → PM (Néel-type)",
      "No long-range magnetic transition"))</f>
        <v>FM → PM (Curie-type)</v>
      </c>
    </row>
    <row r="365" customFormat="false" ht="14.25" hidden="false" customHeight="false" outlineLevel="0" collapsed="false">
      <c r="A365" s="0" t="s">
        <v>815</v>
      </c>
      <c r="B365" s="0" t="s">
        <v>816</v>
      </c>
      <c r="C365" s="0" t="s">
        <v>108</v>
      </c>
      <c r="D365" s="0" t="n">
        <v>-2.49192507713793</v>
      </c>
      <c r="E365" s="0" t="n">
        <v>0.013306377500001</v>
      </c>
      <c r="F365" s="0" t="n">
        <v>3.3392</v>
      </c>
      <c r="G365" s="0" t="n">
        <v>12.0010282</v>
      </c>
      <c r="H365" s="0" t="s">
        <v>58</v>
      </c>
      <c r="I365" s="2" t="b">
        <f aca="false">TRUE()</f>
        <v>1</v>
      </c>
      <c r="J365" s="0" t="str">
        <f aca="false">IF(AND(CODE(MID(B365,2,1))&gt;=97,CODE(MID(B365,2,1))&lt;=122),LEFT(B365,2),LEFT(B365,1))</f>
        <v>Na</v>
      </c>
      <c r="K365" s="0" t="n">
        <f aca="false">IF(J365="","",_xlfn.XLOOKUP(TRIM(J365),Metallic_Radius_Table!A:A,Metallic_Radius_Table!B:B))</f>
        <v>1.86</v>
      </c>
      <c r="L365" s="0" t="str">
        <f aca="false">IF(ISNUMBER(SEARCH("La",B365)),"La",
 IF(ISNUMBER(SEARCH("Nd",B365)),"Nd",
 IF(ISNUMBER(SEARCH("Eu",B365)),"Eu",
 IF(ISNUMBER(SEARCH("Gd",B365)),"Gd",""))))</f>
        <v>La</v>
      </c>
      <c r="M365" s="0" t="n">
        <f aca="false">IF(L365="","",_xlfn.XLOOKUP(TRIM(L365),Metallic_Radius_Table!A:A,Metallic_Radius_Table!B:B))</f>
        <v>1.87</v>
      </c>
      <c r="N365" s="0" t="str">
        <f aca="false">TRIM(LEFT(C365,FIND(",",C365)-1))</f>
        <v>Ni</v>
      </c>
      <c r="O365" s="3" t="n">
        <f aca="false">IF(N365="","",_xlfn.XLOOKUP(TRIM(N365),Metallic_Radius_Table!A:A,Metallic_Radius_Table!B:B))</f>
        <v>1.24</v>
      </c>
      <c r="P365" s="0" t="str">
        <f aca="false">TRIM(MID(C365,FIND(",",C365)+1,5))</f>
        <v>W</v>
      </c>
      <c r="Q365" s="0" t="n">
        <f aca="false">IF(P365="","",_xlfn.XLOOKUP(TRIM(P365),Metallic_Radius_Table!A:A,Metallic_Radius_Table!B:B))</f>
        <v>1.41</v>
      </c>
      <c r="R365" s="0" t="str">
        <f aca="false">IF(G365&gt;=1,   "Ferromagnetic / Ferrimagnetic",   IF(G365&gt;=0.05,      "Paramagnetic / Weakly magnetic",      "Antiferromagnetic / Diamagnetic"))</f>
        <v>Ferromagnetic / Ferrimagnetic</v>
      </c>
      <c r="U365" s="0" t="str">
        <f aca="false">IF(G365&gt;=1,
   "FM → PM (Curie-type)",
   IF(G365&lt;0.05,
      "AFM → PM (Néel-type)",
      "No long-range magnetic transition"))</f>
        <v>FM → PM (Curie-type)</v>
      </c>
    </row>
    <row r="366" customFormat="false" ht="14.25" hidden="false" customHeight="false" outlineLevel="0" collapsed="false">
      <c r="A366" s="0" t="s">
        <v>817</v>
      </c>
      <c r="B366" s="0" t="s">
        <v>818</v>
      </c>
      <c r="C366" s="0" t="s">
        <v>211</v>
      </c>
      <c r="D366" s="0" t="n">
        <v>-2.62942777563793</v>
      </c>
      <c r="E366" s="0" t="n">
        <v>0.108316568791662</v>
      </c>
      <c r="F366" s="0" t="n">
        <v>0.4148</v>
      </c>
      <c r="G366" s="0" t="n">
        <v>3.0000003</v>
      </c>
      <c r="H366" s="0" t="s">
        <v>111</v>
      </c>
      <c r="I366" s="2" t="b">
        <f aca="false">TRUE()</f>
        <v>1</v>
      </c>
      <c r="J366" s="0" t="str">
        <f aca="false">IF(AND(CODE(MID(B366,2,1))&gt;=97,CODE(MID(B366,2,1))&lt;=122),LEFT(B366,2),LEFT(B366,1))</f>
        <v>Na</v>
      </c>
      <c r="K366" s="0" t="n">
        <f aca="false">IF(J366="","",_xlfn.XLOOKUP(TRIM(J366),Metallic_Radius_Table!A:A,Metallic_Radius_Table!B:B))</f>
        <v>1.86</v>
      </c>
      <c r="L366" s="0" t="str">
        <f aca="false">IF(ISNUMBER(SEARCH("La",B366)),"La",
 IF(ISNUMBER(SEARCH("Nd",B366)),"Nd",
 IF(ISNUMBER(SEARCH("Eu",B366)),"Eu",
 IF(ISNUMBER(SEARCH("Gd",B366)),"Gd",""))))</f>
        <v>La</v>
      </c>
      <c r="M366" s="0" t="n">
        <f aca="false">IF(L366="","",_xlfn.XLOOKUP(TRIM(L366),Metallic_Radius_Table!A:A,Metallic_Radius_Table!B:B))</f>
        <v>1.87</v>
      </c>
      <c r="N366" s="0" t="str">
        <f aca="false">TRIM(LEFT(C366,FIND(",",C366)-1))</f>
        <v>V</v>
      </c>
      <c r="O366" s="3" t="n">
        <f aca="false">IF(N366="","",_xlfn.XLOOKUP(TRIM(N366),Metallic_Radius_Table!A:A,Metallic_Radius_Table!B:B))</f>
        <v>1.34</v>
      </c>
      <c r="P366" s="0" t="str">
        <f aca="false">TRIM(MID(C366,FIND(",",C366)+1,5))</f>
        <v>W</v>
      </c>
      <c r="Q366" s="0" t="n">
        <f aca="false">IF(P366="","",_xlfn.XLOOKUP(TRIM(P366),Metallic_Radius_Table!A:A,Metallic_Radius_Table!B:B))</f>
        <v>1.41</v>
      </c>
      <c r="R366" s="0" t="str">
        <f aca="false">IF(G366&gt;=1,   "Ferromagnetic / Ferrimagnetic",   IF(G366&gt;=0.05,      "Paramagnetic / Weakly magnetic",      "Antiferromagnetic / Diamagnetic"))</f>
        <v>Ferromagnetic / Ferrimagnetic</v>
      </c>
      <c r="U366" s="0" t="str">
        <f aca="false">IF(G366&gt;=1,
   "FM → PM (Curie-type)",
   IF(G366&lt;0.05,
      "AFM → PM (Néel-type)",
      "No long-range magnetic transition"))</f>
        <v>FM → PM (Curie-type)</v>
      </c>
    </row>
    <row r="367" customFormat="false" ht="14.25" hidden="false" customHeight="false" outlineLevel="0" collapsed="false">
      <c r="A367" s="0" t="s">
        <v>819</v>
      </c>
      <c r="B367" s="0" t="s">
        <v>820</v>
      </c>
      <c r="C367" s="0" t="s">
        <v>479</v>
      </c>
      <c r="D367" s="0" t="n">
        <v>-2.72139175963793</v>
      </c>
      <c r="E367" s="0" t="n">
        <v>0.14789183725</v>
      </c>
      <c r="F367" s="0" t="n">
        <v>0</v>
      </c>
      <c r="G367" s="0" t="n">
        <v>4.0000008</v>
      </c>
      <c r="H367" s="0" t="s">
        <v>111</v>
      </c>
      <c r="I367" s="2" t="b">
        <f aca="false">TRUE()</f>
        <v>1</v>
      </c>
      <c r="J367" s="0" t="str">
        <f aca="false">IF(AND(CODE(MID(B367,2,1))&gt;=97,CODE(MID(B367,2,1))&lt;=122),LEFT(B367,2),LEFT(B367,1))</f>
        <v>Na</v>
      </c>
      <c r="K367" s="0" t="n">
        <f aca="false">IF(J367="","",_xlfn.XLOOKUP(TRIM(J367),Metallic_Radius_Table!A:A,Metallic_Radius_Table!B:B))</f>
        <v>1.86</v>
      </c>
      <c r="L367" s="0" t="str">
        <f aca="false">IF(ISNUMBER(SEARCH("La",B367)),"La",
 IF(ISNUMBER(SEARCH("Nd",B367)),"Nd",
 IF(ISNUMBER(SEARCH("Eu",B367)),"Eu",
 IF(ISNUMBER(SEARCH("Gd",B367)),"Gd",""))))</f>
        <v>La</v>
      </c>
      <c r="M367" s="0" t="n">
        <f aca="false">IF(L367="","",_xlfn.XLOOKUP(TRIM(L367),Metallic_Radius_Table!A:A,Metallic_Radius_Table!B:B))</f>
        <v>1.87</v>
      </c>
      <c r="N367" s="0" t="str">
        <f aca="false">TRIM(LEFT(C367,FIND(",",C367)-1))</f>
        <v>Fe</v>
      </c>
      <c r="O367" s="3" t="n">
        <f aca="false">IF(N367="","",_xlfn.XLOOKUP(TRIM(N367),Metallic_Radius_Table!A:A,Metallic_Radius_Table!B:B))</f>
        <v>1.26</v>
      </c>
      <c r="P367" s="0" t="str">
        <f aca="false">TRIM(MID(C367,FIND(",",C367)+1,5))</f>
        <v>Zr</v>
      </c>
      <c r="Q367" s="0" t="n">
        <f aca="false">IF(P367="","",_xlfn.XLOOKUP(TRIM(P367),Metallic_Radius_Table!A:A,Metallic_Radius_Table!B:B))</f>
        <v>1.6</v>
      </c>
      <c r="R367" s="0" t="str">
        <f aca="false">IF(G367&gt;=1,   "Ferromagnetic / Ferrimagnetic",   IF(G367&gt;=0.05,      "Paramagnetic / Weakly magnetic",      "Antiferromagnetic / Diamagnetic"))</f>
        <v>Ferromagnetic / Ferrimagnetic</v>
      </c>
      <c r="U367" s="0" t="str">
        <f aca="false">IF(G367&gt;=1,
   "FM → PM (Curie-type)",
   IF(G367&lt;0.05,
      "AFM → PM (Néel-type)",
      "No long-range magnetic transition"))</f>
        <v>FM → PM (Curie-type)</v>
      </c>
    </row>
    <row r="368" customFormat="false" ht="14.25" hidden="false" customHeight="false" outlineLevel="0" collapsed="false">
      <c r="A368" s="0" t="s">
        <v>821</v>
      </c>
      <c r="B368" s="0" t="s">
        <v>822</v>
      </c>
      <c r="C368" s="0" t="s">
        <v>128</v>
      </c>
      <c r="D368" s="0" t="n">
        <v>-3.20976054063793</v>
      </c>
      <c r="E368" s="0" t="n">
        <v>0.156176312249999</v>
      </c>
      <c r="F368" s="0" t="n">
        <v>0</v>
      </c>
      <c r="G368" s="0" t="n">
        <v>0.000824</v>
      </c>
      <c r="H368" s="0" t="s">
        <v>111</v>
      </c>
      <c r="I368" s="2" t="b">
        <f aca="false">TRUE()</f>
        <v>1</v>
      </c>
      <c r="J368" s="0" t="str">
        <f aca="false">IF(AND(CODE(MID(B368,2,1))&gt;=97,CODE(MID(B368,2,1))&lt;=122),LEFT(B368,2),LEFT(B368,1))</f>
        <v>Na</v>
      </c>
      <c r="K368" s="0" t="n">
        <f aca="false">IF(J368="","",_xlfn.XLOOKUP(TRIM(J368),Metallic_Radius_Table!A:A,Metallic_Radius_Table!B:B))</f>
        <v>1.86</v>
      </c>
      <c r="L368" s="0" t="str">
        <f aca="false">IF(ISNUMBER(SEARCH("La",B368)),"La",
 IF(ISNUMBER(SEARCH("Nd",B368)),"Nd",
 IF(ISNUMBER(SEARCH("Eu",B368)),"Eu",
 IF(ISNUMBER(SEARCH("Gd",B368)),"Gd",""))))</f>
        <v>La</v>
      </c>
      <c r="M368" s="0" t="n">
        <f aca="false">IF(L368="","",_xlfn.XLOOKUP(TRIM(L368),Metallic_Radius_Table!A:A,Metallic_Radius_Table!B:B))</f>
        <v>1.87</v>
      </c>
      <c r="N368" s="0" t="str">
        <f aca="false">TRIM(LEFT(C368,FIND(",",C368)-1))</f>
        <v>Zr</v>
      </c>
      <c r="O368" s="3" t="n">
        <f aca="false">IF(N368="","",_xlfn.XLOOKUP(TRIM(N368),Metallic_Radius_Table!A:A,Metallic_Radius_Table!B:B))</f>
        <v>1.6</v>
      </c>
      <c r="P368" s="0" t="str">
        <f aca="false">TRIM(MID(C368,FIND(",",C368)+1,5))</f>
        <v>Nb</v>
      </c>
      <c r="Q368" s="0" t="n">
        <f aca="false">IF(P368="","",_xlfn.XLOOKUP(TRIM(P368),Metallic_Radius_Table!A:A,Metallic_Radius_Table!B:B))</f>
        <v>1.46</v>
      </c>
      <c r="R368" s="0" t="str">
        <f aca="false">IF(G368&gt;=1,   "Ferromagnetic / Ferrimagnetic",   IF(G368&gt;=0.05,      "Paramagnetic / Weakly magnetic",      "Antiferromagnetic / Diamagnetic"))</f>
        <v>Antiferromagnetic / Diamagnetic</v>
      </c>
      <c r="U368" s="0" t="str">
        <f aca="false">IF(G368&gt;=1,
   "FM → PM (Curie-type)",
   IF(G368&lt;0.05,
      "AFM → PM (Néel-type)",
      "No long-range magnetic transition"))</f>
        <v>AFM → PM (Néel-type)</v>
      </c>
    </row>
    <row r="369" customFormat="false" ht="14.25" hidden="false" customHeight="false" outlineLevel="0" collapsed="false">
      <c r="A369" s="0" t="s">
        <v>823</v>
      </c>
      <c r="B369" s="0" t="s">
        <v>824</v>
      </c>
      <c r="C369" s="0" t="s">
        <v>216</v>
      </c>
      <c r="D369" s="0" t="n">
        <v>-3.40461189797126</v>
      </c>
      <c r="E369" s="0" t="n">
        <v>0.113828297234377</v>
      </c>
      <c r="F369" s="0" t="n">
        <v>2.2686</v>
      </c>
      <c r="G369" s="0" t="n">
        <v>0</v>
      </c>
      <c r="H369" s="0" t="s">
        <v>111</v>
      </c>
      <c r="I369" s="2" t="b">
        <f aca="false">TRUE()</f>
        <v>1</v>
      </c>
      <c r="J369" s="0" t="str">
        <f aca="false">IF(AND(CODE(MID(B369,2,1))&gt;=97,CODE(MID(B369,2,1))&lt;=122),LEFT(B369,2),LEFT(B369,1))</f>
        <v>Na</v>
      </c>
      <c r="K369" s="0" t="n">
        <f aca="false">IF(J369="","",_xlfn.XLOOKUP(TRIM(J369),Metallic_Radius_Table!A:A,Metallic_Radius_Table!B:B))</f>
        <v>1.86</v>
      </c>
      <c r="L369" s="0" t="str">
        <f aca="false">IF(ISNUMBER(SEARCH("La",B369)),"La",
 IF(ISNUMBER(SEARCH("Nd",B369)),"Nd",
 IF(ISNUMBER(SEARCH("Eu",B369)),"Eu",
 IF(ISNUMBER(SEARCH("Gd",B369)),"Gd",""))))</f>
        <v>La</v>
      </c>
      <c r="M369" s="0" t="n">
        <f aca="false">IF(L369="","",_xlfn.XLOOKUP(TRIM(L369),Metallic_Radius_Table!A:A,Metallic_Radius_Table!B:B))</f>
        <v>1.87</v>
      </c>
      <c r="N369" s="0" t="str">
        <f aca="false">TRIM(LEFT(C369,FIND(",",C369)-1))</f>
        <v>Zr</v>
      </c>
      <c r="O369" s="3" t="n">
        <f aca="false">IF(N369="","",_xlfn.XLOOKUP(TRIM(N369),Metallic_Radius_Table!A:A,Metallic_Radius_Table!B:B))</f>
        <v>1.6</v>
      </c>
      <c r="P369" s="0" t="str">
        <f aca="false">TRIM(MID(C369,FIND(",",C369)+1,5))</f>
        <v>Ti</v>
      </c>
      <c r="Q369" s="0" t="n">
        <f aca="false">IF(P369="","",_xlfn.XLOOKUP(TRIM(P369),Metallic_Radius_Table!A:A,Metallic_Radius_Table!B:B))</f>
        <v>1.47</v>
      </c>
      <c r="R369" s="0" t="str">
        <f aca="false">IF(G369&gt;=1,   "Ferromagnetic / Ferrimagnetic",   IF(G369&gt;=0.05,      "Paramagnetic / Weakly magnetic",      "Antiferromagnetic / Diamagnetic"))</f>
        <v>Antiferromagnetic / Diamagnetic</v>
      </c>
      <c r="U369" s="0" t="str">
        <f aca="false">IF(G369&gt;=1,
   "FM → PM (Curie-type)",
   IF(G369&lt;0.05,
      "AFM → PM (Néel-type)",
      "No long-range magnetic transition"))</f>
        <v>AFM → PM (Néel-type)</v>
      </c>
    </row>
    <row r="370" customFormat="false" ht="14.25" hidden="false" customHeight="false" outlineLevel="0" collapsed="false">
      <c r="A370" s="0" t="s">
        <v>825</v>
      </c>
      <c r="B370" s="0" t="s">
        <v>826</v>
      </c>
      <c r="C370" s="0" t="s">
        <v>529</v>
      </c>
      <c r="D370" s="0" t="n">
        <v>-3.06435947763793</v>
      </c>
      <c r="E370" s="0" t="n">
        <v>0.168517876750003</v>
      </c>
      <c r="F370" s="0" t="n">
        <v>0</v>
      </c>
      <c r="G370" s="0" t="n">
        <v>0.999999899999999</v>
      </c>
      <c r="H370" s="0" t="s">
        <v>111</v>
      </c>
      <c r="I370" s="2" t="b">
        <f aca="false">TRUE()</f>
        <v>1</v>
      </c>
      <c r="J370" s="0" t="str">
        <f aca="false">IF(AND(CODE(MID(B370,2,1))&gt;=97,CODE(MID(B370,2,1))&lt;=122),LEFT(B370,2),LEFT(B370,1))</f>
        <v>Na</v>
      </c>
      <c r="K370" s="0" t="n">
        <f aca="false">IF(J370="","",_xlfn.XLOOKUP(TRIM(J370),Metallic_Radius_Table!A:A,Metallic_Radius_Table!B:B))</f>
        <v>1.86</v>
      </c>
      <c r="L370" s="0" t="str">
        <f aca="false">IF(ISNUMBER(SEARCH("La",B370)),"La",
 IF(ISNUMBER(SEARCH("Nd",B370)),"Nd",
 IF(ISNUMBER(SEARCH("Eu",B370)),"Eu",
 IF(ISNUMBER(SEARCH("Gd",B370)),"Gd",""))))</f>
        <v>La</v>
      </c>
      <c r="M370" s="0" t="n">
        <f aca="false">IF(L370="","",_xlfn.XLOOKUP(TRIM(L370),Metallic_Radius_Table!A:A,Metallic_Radius_Table!B:B))</f>
        <v>1.87</v>
      </c>
      <c r="N370" s="0" t="str">
        <f aca="false">TRIM(LEFT(C370,FIND(",",C370)-1))</f>
        <v>Zr</v>
      </c>
      <c r="O370" s="3" t="n">
        <f aca="false">IF(N370="","",_xlfn.XLOOKUP(TRIM(N370),Metallic_Radius_Table!A:A,Metallic_Radius_Table!B:B))</f>
        <v>1.6</v>
      </c>
      <c r="P370" s="0" t="str">
        <f aca="false">TRIM(MID(C370,FIND(",",C370)+1,5))</f>
        <v>V</v>
      </c>
      <c r="Q370" s="0" t="n">
        <f aca="false">IF(P370="","",_xlfn.XLOOKUP(TRIM(P370),Metallic_Radius_Table!A:A,Metallic_Radius_Table!B:B))</f>
        <v>1.34</v>
      </c>
      <c r="R370" s="0" t="str">
        <f aca="false">IF(G370&gt;=1,   "Ferromagnetic / Ferrimagnetic",   IF(G370&gt;=0.05,      "Paramagnetic / Weakly magnetic",      "Antiferromagnetic / Diamagnetic"))</f>
        <v>Paramagnetic / Weakly magnetic</v>
      </c>
      <c r="U370" s="0" t="str">
        <f aca="false">IF(G370&gt;=1,
   "FM → PM (Curie-type)",
   IF(G370&lt;0.05,
      "AFM → PM (Néel-type)",
      "No long-range magnetic transition"))</f>
        <v>No long-range magnetic transition</v>
      </c>
    </row>
    <row r="371" customFormat="false" ht="14.25" hidden="false" customHeight="false" outlineLevel="0" collapsed="false">
      <c r="A371" s="0" t="s">
        <v>827</v>
      </c>
      <c r="B371" s="0" t="s">
        <v>828</v>
      </c>
      <c r="C371" s="0" t="s">
        <v>79</v>
      </c>
      <c r="D371" s="0" t="n">
        <v>-1.87707815393103</v>
      </c>
      <c r="E371" s="0" t="n">
        <v>0.185106142999999</v>
      </c>
      <c r="F371" s="0" t="n">
        <v>0</v>
      </c>
      <c r="G371" s="0" t="n">
        <v>4.9772613</v>
      </c>
      <c r="H371" s="0" t="s">
        <v>111</v>
      </c>
      <c r="I371" s="2" t="b">
        <f aca="false">TRUE()</f>
        <v>1</v>
      </c>
      <c r="J371" s="0" t="str">
        <f aca="false">IF(AND(CODE(MID(B371,2,1))&gt;=97,CODE(MID(B371,2,1))&lt;=122),LEFT(B371,2),LEFT(B371,1))</f>
        <v>Na</v>
      </c>
      <c r="K371" s="0" t="n">
        <f aca="false">IF(J371="","",_xlfn.XLOOKUP(TRIM(J371),Metallic_Radius_Table!A:A,Metallic_Radius_Table!B:B))</f>
        <v>1.86</v>
      </c>
      <c r="L371" s="0" t="str">
        <f aca="false">IF(ISNUMBER(SEARCH("La",B371)),"La",
 IF(ISNUMBER(SEARCH("Nd",B371)),"Nd",
 IF(ISNUMBER(SEARCH("Eu",B371)),"Eu",
 IF(ISNUMBER(SEARCH("Gd",B371)),"Gd",""))))</f>
        <v/>
      </c>
      <c r="M371" s="0" t="str">
        <f aca="false">IF(L371="","",_xlfn.XLOOKUP(TRIM(L371),Metallic_Radius_Table!A:A,Metallic_Radius_Table!B:B))</f>
        <v/>
      </c>
      <c r="N371" s="0" t="str">
        <f aca="false">TRIM(LEFT(C371,FIND(",",C371)-1))</f>
        <v>Mn</v>
      </c>
      <c r="O371" s="3" t="n">
        <f aca="false">IF(N371="","",_xlfn.XLOOKUP(TRIM(N371),Metallic_Radius_Table!A:A,Metallic_Radius_Table!B:B))</f>
        <v>1.27</v>
      </c>
      <c r="P371" s="0" t="str">
        <f aca="false">TRIM(MID(C371,FIND(",",C371)+1,5))</f>
        <v>W</v>
      </c>
      <c r="Q371" s="0" t="n">
        <f aca="false">IF(P371="","",_xlfn.XLOOKUP(TRIM(P371),Metallic_Radius_Table!A:A,Metallic_Radius_Table!B:B))</f>
        <v>1.41</v>
      </c>
      <c r="R371" s="0" t="str">
        <f aca="false">IF(G371&gt;=1,   "Ferromagnetic / Ferrimagnetic",   IF(G371&gt;=0.05,      "Paramagnetic / Weakly magnetic",      "Antiferromagnetic / Diamagnetic"))</f>
        <v>Ferromagnetic / Ferrimagnetic</v>
      </c>
      <c r="U371" s="0" t="str">
        <f aca="false">IF(G371&gt;=1,
   "FM → PM (Curie-type)",
   IF(G371&lt;0.05,
      "AFM → PM (Néel-type)",
      "No long-range magnetic transition"))</f>
        <v>FM → PM (Curie-type)</v>
      </c>
    </row>
    <row r="372" customFormat="false" ht="14.25" hidden="false" customHeight="false" outlineLevel="0" collapsed="false">
      <c r="A372" s="0" t="s">
        <v>829</v>
      </c>
      <c r="B372" s="0" t="s">
        <v>830</v>
      </c>
      <c r="C372" s="0" t="s">
        <v>125</v>
      </c>
      <c r="D372" s="0" t="n">
        <v>-2.20325161280459</v>
      </c>
      <c r="E372" s="0" t="n">
        <v>0.175926584874998</v>
      </c>
      <c r="F372" s="0" t="n">
        <v>0</v>
      </c>
      <c r="G372" s="0" t="n">
        <v>0.9377839</v>
      </c>
      <c r="H372" s="0" t="s">
        <v>111</v>
      </c>
      <c r="I372" s="2" t="b">
        <f aca="false">TRUE()</f>
        <v>1</v>
      </c>
      <c r="J372" s="0" t="str">
        <f aca="false">IF(AND(CODE(MID(B372,2,1))&gt;=97,CODE(MID(B372,2,1))&lt;=122),LEFT(B372,2),LEFT(B372,1))</f>
        <v>Na</v>
      </c>
      <c r="K372" s="0" t="n">
        <f aca="false">IF(J372="","",_xlfn.XLOOKUP(TRIM(J372),Metallic_Radius_Table!A:A,Metallic_Radius_Table!B:B))</f>
        <v>1.86</v>
      </c>
      <c r="L372" s="0" t="str">
        <f aca="false">IF(ISNUMBER(SEARCH("La",B372)),"La",
 IF(ISNUMBER(SEARCH("Nd",B372)),"Nd",
 IF(ISNUMBER(SEARCH("Eu",B372)),"Eu",
 IF(ISNUMBER(SEARCH("Gd",B372)),"Gd",""))))</f>
        <v/>
      </c>
      <c r="M372" s="0" t="str">
        <f aca="false">IF(L372="","",_xlfn.XLOOKUP(TRIM(L372),Metallic_Radius_Table!A:A,Metallic_Radius_Table!B:B))</f>
        <v/>
      </c>
      <c r="N372" s="0" t="str">
        <f aca="false">TRIM(LEFT(C372,FIND(",",C372)-1))</f>
        <v>Nb</v>
      </c>
      <c r="O372" s="3" t="n">
        <f aca="false">IF(N372="","",_xlfn.XLOOKUP(TRIM(N372),Metallic_Radius_Table!A:A,Metallic_Radius_Table!B:B))</f>
        <v>1.46</v>
      </c>
      <c r="P372" s="0" t="str">
        <f aca="false">TRIM(MID(C372,FIND(",",C372)+1,5))</f>
        <v>W</v>
      </c>
      <c r="Q372" s="0" t="n">
        <f aca="false">IF(P372="","",_xlfn.XLOOKUP(TRIM(P372),Metallic_Radius_Table!A:A,Metallic_Radius_Table!B:B))</f>
        <v>1.41</v>
      </c>
      <c r="R372" s="0" t="str">
        <f aca="false">IF(G372&gt;=1,   "Ferromagnetic / Ferrimagnetic",   IF(G372&gt;=0.05,      "Paramagnetic / Weakly magnetic",      "Antiferromagnetic / Diamagnetic"))</f>
        <v>Paramagnetic / Weakly magnetic</v>
      </c>
      <c r="U372" s="0" t="str">
        <f aca="false">IF(G372&gt;=1,
   "FM → PM (Curie-type)",
   IF(G372&lt;0.05,
      "AFM → PM (Néel-type)",
      "No long-range magnetic transition"))</f>
        <v>No long-range magnetic transition</v>
      </c>
    </row>
    <row r="373" customFormat="false" ht="14.25" hidden="false" customHeight="false" outlineLevel="0" collapsed="false">
      <c r="A373" s="0" t="s">
        <v>831</v>
      </c>
      <c r="B373" s="0" t="s">
        <v>832</v>
      </c>
      <c r="C373" s="0" t="s">
        <v>35</v>
      </c>
      <c r="D373" s="0" t="n">
        <v>-2.48992279138793</v>
      </c>
      <c r="E373" s="0" t="n">
        <v>0</v>
      </c>
      <c r="F373" s="0" t="n">
        <v>2.4461</v>
      </c>
      <c r="G373" s="0" t="n">
        <v>6.0000994</v>
      </c>
      <c r="H373" s="0" t="s">
        <v>634</v>
      </c>
      <c r="I373" s="2" t="b">
        <f aca="false">TRUE()</f>
        <v>1</v>
      </c>
      <c r="J373" s="0" t="str">
        <f aca="false">IF(AND(CODE(MID(B373,2,1))&gt;=97,CODE(MID(B373,2,1))&lt;=122),LEFT(B373,2),LEFT(B373,1))</f>
        <v>Na</v>
      </c>
      <c r="K373" s="0" t="n">
        <f aca="false">IF(J373="","",_xlfn.XLOOKUP(TRIM(J373),Metallic_Radius_Table!A:A,Metallic_Radius_Table!B:B))</f>
        <v>1.86</v>
      </c>
      <c r="L373" s="0" t="str">
        <f aca="false">IF(ISNUMBER(SEARCH("La",B373)),"La",
 IF(ISNUMBER(SEARCH("Nd",B373)),"Nd",
 IF(ISNUMBER(SEARCH("Eu",B373)),"Eu",
 IF(ISNUMBER(SEARCH("Gd",B373)),"Gd",""))))</f>
        <v>Nd</v>
      </c>
      <c r="M373" s="0" t="n">
        <f aca="false">IF(L373="","",_xlfn.XLOOKUP(TRIM(L373),Metallic_Radius_Table!A:A,Metallic_Radius_Table!B:B))</f>
        <v>1.82</v>
      </c>
      <c r="N373" s="0" t="str">
        <f aca="false">TRIM(LEFT(C373,FIND(",",C373)-1))</f>
        <v>Co</v>
      </c>
      <c r="O373" s="3" t="n">
        <f aca="false">IF(N373="","",_xlfn.XLOOKUP(TRIM(N373),Metallic_Radius_Table!A:A,Metallic_Radius_Table!B:B))</f>
        <v>1.25</v>
      </c>
      <c r="P373" s="0" t="str">
        <f aca="false">TRIM(MID(C373,FIND(",",C373)+1,5))</f>
        <v>W</v>
      </c>
      <c r="Q373" s="0" t="n">
        <f aca="false">IF(P373="","",_xlfn.XLOOKUP(TRIM(P373),Metallic_Radius_Table!A:A,Metallic_Radius_Table!B:B))</f>
        <v>1.41</v>
      </c>
      <c r="R373" s="0" t="str">
        <f aca="false">IF(G373&gt;=1,   "Ferromagnetic / Ferrimagnetic",   IF(G373&gt;=0.05,      "Paramagnetic / Weakly magnetic",      "Antiferromagnetic / Diamagnetic"))</f>
        <v>Ferromagnetic / Ferrimagnetic</v>
      </c>
      <c r="U373" s="0" t="str">
        <f aca="false">IF(G373&gt;=1,
   "FM → PM (Curie-type)",
   IF(G373&lt;0.05,
      "AFM → PM (Néel-type)",
      "No long-range magnetic transition"))</f>
        <v>FM → PM (Curie-type)</v>
      </c>
    </row>
    <row r="374" customFormat="false" ht="14.25" hidden="false" customHeight="false" outlineLevel="0" collapsed="false">
      <c r="A374" s="0" t="s">
        <v>833</v>
      </c>
      <c r="B374" s="0" t="s">
        <v>834</v>
      </c>
      <c r="C374" s="0" t="s">
        <v>53</v>
      </c>
      <c r="D374" s="0" t="n">
        <v>-2.54806608438793</v>
      </c>
      <c r="E374" s="0" t="n">
        <v>0</v>
      </c>
      <c r="F374" s="0" t="n">
        <v>2.4171</v>
      </c>
      <c r="G374" s="0" t="n">
        <v>7.9999448</v>
      </c>
      <c r="H374" s="0" t="s">
        <v>634</v>
      </c>
      <c r="I374" s="2" t="b">
        <f aca="false">TRUE()</f>
        <v>1</v>
      </c>
      <c r="J374" s="0" t="str">
        <f aca="false">IF(AND(CODE(MID(B374,2,1))&gt;=97,CODE(MID(B374,2,1))&lt;=122),LEFT(B374,2),LEFT(B374,1))</f>
        <v>Na</v>
      </c>
      <c r="K374" s="0" t="n">
        <f aca="false">IF(J374="","",_xlfn.XLOOKUP(TRIM(J374),Metallic_Radius_Table!A:A,Metallic_Radius_Table!B:B))</f>
        <v>1.86</v>
      </c>
      <c r="L374" s="0" t="str">
        <f aca="false">IF(ISNUMBER(SEARCH("La",B374)),"La",
 IF(ISNUMBER(SEARCH("Nd",B374)),"Nd",
 IF(ISNUMBER(SEARCH("Eu",B374)),"Eu",
 IF(ISNUMBER(SEARCH("Gd",B374)),"Gd",""))))</f>
        <v>Nd</v>
      </c>
      <c r="M374" s="0" t="n">
        <f aca="false">IF(L374="","",_xlfn.XLOOKUP(TRIM(L374),Metallic_Radius_Table!A:A,Metallic_Radius_Table!B:B))</f>
        <v>1.82</v>
      </c>
      <c r="N374" s="0" t="str">
        <f aca="false">TRIM(LEFT(C374,FIND(",",C374)-1))</f>
        <v>Fe</v>
      </c>
      <c r="O374" s="3" t="n">
        <f aca="false">IF(N374="","",_xlfn.XLOOKUP(TRIM(N374),Metallic_Radius_Table!A:A,Metallic_Radius_Table!B:B))</f>
        <v>1.26</v>
      </c>
      <c r="P374" s="0" t="str">
        <f aca="false">TRIM(MID(C374,FIND(",",C374)+1,5))</f>
        <v>W</v>
      </c>
      <c r="Q374" s="0" t="n">
        <f aca="false">IF(P374="","",_xlfn.XLOOKUP(TRIM(P374),Metallic_Radius_Table!A:A,Metallic_Radius_Table!B:B))</f>
        <v>1.41</v>
      </c>
      <c r="R374" s="0" t="str">
        <f aca="false">IF(G374&gt;=1,   "Ferromagnetic / Ferrimagnetic",   IF(G374&gt;=0.05,      "Paramagnetic / Weakly magnetic",      "Antiferromagnetic / Diamagnetic"))</f>
        <v>Ferromagnetic / Ferrimagnetic</v>
      </c>
      <c r="U374" s="0" t="str">
        <f aca="false">IF(G374&gt;=1,
   "FM → PM (Curie-type)",
   IF(G374&lt;0.05,
      "AFM → PM (Néel-type)",
      "No long-range magnetic transition"))</f>
        <v>FM → PM (Curie-type)</v>
      </c>
    </row>
    <row r="375" customFormat="false" ht="14.25" hidden="false" customHeight="false" outlineLevel="0" collapsed="false">
      <c r="A375" s="0" t="s">
        <v>835</v>
      </c>
      <c r="B375" s="0" t="s">
        <v>836</v>
      </c>
      <c r="C375" s="0" t="s">
        <v>114</v>
      </c>
      <c r="D375" s="0" t="n">
        <v>-3.20703407288793</v>
      </c>
      <c r="E375" s="0" t="n">
        <v>0.198215603999996</v>
      </c>
      <c r="F375" s="0" t="n">
        <v>0</v>
      </c>
      <c r="G375" s="0" t="n">
        <v>0.0009262</v>
      </c>
      <c r="H375" s="0" t="s">
        <v>111</v>
      </c>
      <c r="I375" s="2" t="b">
        <f aca="false">TRUE()</f>
        <v>1</v>
      </c>
      <c r="J375" s="0" t="str">
        <f aca="false">IF(AND(CODE(MID(B375,2,1))&gt;=97,CODE(MID(B375,2,1))&lt;=122),LEFT(B375,2),LEFT(B375,1))</f>
        <v>Na</v>
      </c>
      <c r="K375" s="0" t="n">
        <f aca="false">IF(J375="","",_xlfn.XLOOKUP(TRIM(J375),Metallic_Radius_Table!A:A,Metallic_Radius_Table!B:B))</f>
        <v>1.86</v>
      </c>
      <c r="L375" s="0" t="str">
        <f aca="false">IF(ISNUMBER(SEARCH("La",B375)),"La",
 IF(ISNUMBER(SEARCH("Nd",B375)),"Nd",
 IF(ISNUMBER(SEARCH("Eu",B375)),"Eu",
 IF(ISNUMBER(SEARCH("Gd",B375)),"Gd",""))))</f>
        <v>Nd</v>
      </c>
      <c r="M375" s="0" t="n">
        <f aca="false">IF(L375="","",_xlfn.XLOOKUP(TRIM(L375),Metallic_Radius_Table!A:A,Metallic_Radius_Table!B:B))</f>
        <v>1.82</v>
      </c>
      <c r="N375" s="0" t="str">
        <f aca="false">TRIM(LEFT(C375,FIND(",",C375)-1))</f>
        <v>Nb</v>
      </c>
      <c r="O375" s="3" t="n">
        <f aca="false">IF(N375="","",_xlfn.XLOOKUP(TRIM(N375),Metallic_Radius_Table!A:A,Metallic_Radius_Table!B:B))</f>
        <v>1.46</v>
      </c>
      <c r="P375" s="0" t="str">
        <f aca="false">TRIM(MID(C375,FIND(",",C375)+1,5))</f>
        <v>Hf</v>
      </c>
      <c r="Q375" s="0" t="n">
        <f aca="false">IF(P375="","",_xlfn.XLOOKUP(TRIM(P375),Metallic_Radius_Table!A:A,Metallic_Radius_Table!B:B))</f>
        <v>1.59</v>
      </c>
      <c r="R375" s="0" t="str">
        <f aca="false">IF(G375&gt;=1,   "Ferromagnetic / Ferrimagnetic",   IF(G375&gt;=0.05,      "Paramagnetic / Weakly magnetic",      "Antiferromagnetic / Diamagnetic"))</f>
        <v>Antiferromagnetic / Diamagnetic</v>
      </c>
      <c r="U375" s="0" t="str">
        <f aca="false">IF(G375&gt;=1,
   "FM → PM (Curie-type)",
   IF(G375&lt;0.05,
      "AFM → PM (Néel-type)",
      "No long-range magnetic transition"))</f>
        <v>AFM → PM (Néel-type)</v>
      </c>
    </row>
    <row r="376" customFormat="false" ht="14.25" hidden="false" customHeight="false" outlineLevel="0" collapsed="false">
      <c r="A376" s="0" t="s">
        <v>837</v>
      </c>
      <c r="B376" s="0" t="s">
        <v>838</v>
      </c>
      <c r="C376" s="0" t="s">
        <v>148</v>
      </c>
      <c r="D376" s="0" t="n">
        <v>-3.42983831022126</v>
      </c>
      <c r="E376" s="0" t="n">
        <v>0.125430120468749</v>
      </c>
      <c r="F376" s="0" t="n">
        <v>2.2438</v>
      </c>
      <c r="G376" s="0" t="n">
        <v>0</v>
      </c>
      <c r="H376" s="0" t="s">
        <v>111</v>
      </c>
      <c r="I376" s="2" t="b">
        <f aca="false">TRUE()</f>
        <v>1</v>
      </c>
      <c r="J376" s="0" t="str">
        <f aca="false">IF(AND(CODE(MID(B376,2,1))&gt;=97,CODE(MID(B376,2,1))&lt;=122),LEFT(B376,2),LEFT(B376,1))</f>
        <v>Na</v>
      </c>
      <c r="K376" s="0" t="n">
        <f aca="false">IF(J376="","",_xlfn.XLOOKUP(TRIM(J376),Metallic_Radius_Table!A:A,Metallic_Radius_Table!B:B))</f>
        <v>1.86</v>
      </c>
      <c r="L376" s="0" t="str">
        <f aca="false">IF(ISNUMBER(SEARCH("La",B376)),"La",
 IF(ISNUMBER(SEARCH("Nd",B376)),"Nd",
 IF(ISNUMBER(SEARCH("Eu",B376)),"Eu",
 IF(ISNUMBER(SEARCH("Gd",B376)),"Gd",""))))</f>
        <v>Nd</v>
      </c>
      <c r="M376" s="0" t="n">
        <f aca="false">IF(L376="","",_xlfn.XLOOKUP(TRIM(L376),Metallic_Radius_Table!A:A,Metallic_Radius_Table!B:B))</f>
        <v>1.82</v>
      </c>
      <c r="N376" s="0" t="str">
        <f aca="false">TRIM(LEFT(C376,FIND(",",C376)-1))</f>
        <v>Hf</v>
      </c>
      <c r="O376" s="3" t="n">
        <f aca="false">IF(N376="","",_xlfn.XLOOKUP(TRIM(N376),Metallic_Radius_Table!A:A,Metallic_Radius_Table!B:B))</f>
        <v>1.59</v>
      </c>
      <c r="P376" s="0" t="str">
        <f aca="false">TRIM(MID(C376,FIND(",",C376)+1,5))</f>
        <v>Ti</v>
      </c>
      <c r="Q376" s="0" t="n">
        <f aca="false">IF(P376="","",_xlfn.XLOOKUP(TRIM(P376),Metallic_Radius_Table!A:A,Metallic_Radius_Table!B:B))</f>
        <v>1.47</v>
      </c>
      <c r="R376" s="0" t="str">
        <f aca="false">IF(G376&gt;=1,   "Ferromagnetic / Ferrimagnetic",   IF(G376&gt;=0.05,      "Paramagnetic / Weakly magnetic",      "Antiferromagnetic / Diamagnetic"))</f>
        <v>Antiferromagnetic / Diamagnetic</v>
      </c>
      <c r="U376" s="0" t="str">
        <f aca="false">IF(G376&gt;=1,
   "FM → PM (Curie-type)",
   IF(G376&lt;0.05,
      "AFM → PM (Néel-type)",
      "No long-range magnetic transition"))</f>
        <v>AFM → PM (Néel-type)</v>
      </c>
    </row>
    <row r="377" customFormat="false" ht="14.25" hidden="false" customHeight="false" outlineLevel="0" collapsed="false">
      <c r="A377" s="0" t="s">
        <v>839</v>
      </c>
      <c r="B377" s="0" t="s">
        <v>840</v>
      </c>
      <c r="C377" s="0" t="s">
        <v>79</v>
      </c>
      <c r="D377" s="0" t="n">
        <v>-2.47873232168103</v>
      </c>
      <c r="E377" s="0" t="n">
        <v>0.178444130499999</v>
      </c>
      <c r="F377" s="0" t="n">
        <v>1.043</v>
      </c>
      <c r="G377" s="0" t="n">
        <v>5.0000007</v>
      </c>
      <c r="H377" s="0" t="s">
        <v>111</v>
      </c>
      <c r="I377" s="2" t="b">
        <f aca="false">TRUE()</f>
        <v>1</v>
      </c>
      <c r="J377" s="0" t="str">
        <f aca="false">IF(AND(CODE(MID(B377,2,1))&gt;=97,CODE(MID(B377,2,1))&lt;=122),LEFT(B377,2),LEFT(B377,1))</f>
        <v>Na</v>
      </c>
      <c r="K377" s="0" t="n">
        <f aca="false">IF(J377="","",_xlfn.XLOOKUP(TRIM(J377),Metallic_Radius_Table!A:A,Metallic_Radius_Table!B:B))</f>
        <v>1.86</v>
      </c>
      <c r="L377" s="0" t="str">
        <f aca="false">IF(ISNUMBER(SEARCH("La",B377)),"La",
 IF(ISNUMBER(SEARCH("Nd",B377)),"Nd",
 IF(ISNUMBER(SEARCH("Eu",B377)),"Eu",
 IF(ISNUMBER(SEARCH("Gd",B377)),"Gd",""))))</f>
        <v>Nd</v>
      </c>
      <c r="M377" s="0" t="n">
        <f aca="false">IF(L377="","",_xlfn.XLOOKUP(TRIM(L377),Metallic_Radius_Table!A:A,Metallic_Radius_Table!B:B))</f>
        <v>1.82</v>
      </c>
      <c r="N377" s="0" t="str">
        <f aca="false">TRIM(LEFT(C377,FIND(",",C377)-1))</f>
        <v>Mn</v>
      </c>
      <c r="O377" s="3" t="n">
        <f aca="false">IF(N377="","",_xlfn.XLOOKUP(TRIM(N377),Metallic_Radius_Table!A:A,Metallic_Radius_Table!B:B))</f>
        <v>1.27</v>
      </c>
      <c r="P377" s="0" t="str">
        <f aca="false">TRIM(MID(C377,FIND(",",C377)+1,5))</f>
        <v>W</v>
      </c>
      <c r="Q377" s="0" t="n">
        <f aca="false">IF(P377="","",_xlfn.XLOOKUP(TRIM(P377),Metallic_Radius_Table!A:A,Metallic_Radius_Table!B:B))</f>
        <v>1.41</v>
      </c>
      <c r="R377" s="0" t="str">
        <f aca="false">IF(G377&gt;=1,   "Ferromagnetic / Ferrimagnetic",   IF(G377&gt;=0.05,      "Paramagnetic / Weakly magnetic",      "Antiferromagnetic / Diamagnetic"))</f>
        <v>Ferromagnetic / Ferrimagnetic</v>
      </c>
      <c r="U377" s="0" t="str">
        <f aca="false">IF(G377&gt;=1,
   "FM → PM (Curie-type)",
   IF(G377&lt;0.05,
      "AFM → PM (Néel-type)",
      "No long-range magnetic transition"))</f>
        <v>FM → PM (Curie-type)</v>
      </c>
    </row>
    <row r="378" customFormat="false" ht="14.25" hidden="false" customHeight="false" outlineLevel="0" collapsed="false">
      <c r="A378" s="0" t="s">
        <v>841</v>
      </c>
      <c r="B378" s="0" t="s">
        <v>840</v>
      </c>
      <c r="C378" s="0" t="s">
        <v>79</v>
      </c>
      <c r="D378" s="0" t="n">
        <v>-2.65717645218103</v>
      </c>
      <c r="E378" s="0" t="n">
        <v>0</v>
      </c>
      <c r="F378" s="0" t="n">
        <v>2.2832</v>
      </c>
      <c r="G378" s="0" t="n">
        <v>10.0001909</v>
      </c>
      <c r="H378" s="0" t="s">
        <v>634</v>
      </c>
      <c r="I378" s="2" t="b">
        <f aca="false">TRUE()</f>
        <v>1</v>
      </c>
      <c r="J378" s="0" t="str">
        <f aca="false">IF(AND(CODE(MID(B378,2,1))&gt;=97,CODE(MID(B378,2,1))&lt;=122),LEFT(B378,2),LEFT(B378,1))</f>
        <v>Na</v>
      </c>
      <c r="K378" s="0" t="n">
        <f aca="false">IF(J378="","",_xlfn.XLOOKUP(TRIM(J378),Metallic_Radius_Table!A:A,Metallic_Radius_Table!B:B))</f>
        <v>1.86</v>
      </c>
      <c r="L378" s="0" t="str">
        <f aca="false">IF(ISNUMBER(SEARCH("La",B378)),"La",
 IF(ISNUMBER(SEARCH("Nd",B378)),"Nd",
 IF(ISNUMBER(SEARCH("Eu",B378)),"Eu",
 IF(ISNUMBER(SEARCH("Gd",B378)),"Gd",""))))</f>
        <v>Nd</v>
      </c>
      <c r="M378" s="0" t="n">
        <f aca="false">IF(L378="","",_xlfn.XLOOKUP(TRIM(L378),Metallic_Radius_Table!A:A,Metallic_Radius_Table!B:B))</f>
        <v>1.82</v>
      </c>
      <c r="N378" s="0" t="str">
        <f aca="false">TRIM(LEFT(C378,FIND(",",C378)-1))</f>
        <v>Mn</v>
      </c>
      <c r="O378" s="3" t="n">
        <f aca="false">IF(N378="","",_xlfn.XLOOKUP(TRIM(N378),Metallic_Radius_Table!A:A,Metallic_Radius_Table!B:B))</f>
        <v>1.27</v>
      </c>
      <c r="P378" s="0" t="str">
        <f aca="false">TRIM(MID(C378,FIND(",",C378)+1,5))</f>
        <v>W</v>
      </c>
      <c r="Q378" s="0" t="n">
        <f aca="false">IF(P378="","",_xlfn.XLOOKUP(TRIM(P378),Metallic_Radius_Table!A:A,Metallic_Radius_Table!B:B))</f>
        <v>1.41</v>
      </c>
      <c r="R378" s="0" t="str">
        <f aca="false">IF(G378&gt;=1,   "Ferromagnetic / Ferrimagnetic",   IF(G378&gt;=0.05,      "Paramagnetic / Weakly magnetic",      "Antiferromagnetic / Diamagnetic"))</f>
        <v>Ferromagnetic / Ferrimagnetic</v>
      </c>
      <c r="U378" s="0" t="str">
        <f aca="false">IF(G378&gt;=1,
   "FM → PM (Curie-type)",
   IF(G378&lt;0.05,
      "AFM → PM (Néel-type)",
      "No long-range magnetic transition"))</f>
        <v>FM → PM (Curie-type)</v>
      </c>
    </row>
    <row r="379" customFormat="false" ht="14.25" hidden="false" customHeight="false" outlineLevel="0" collapsed="false">
      <c r="A379" s="0" t="s">
        <v>842</v>
      </c>
      <c r="B379" s="0" t="s">
        <v>843</v>
      </c>
      <c r="C379" s="0" t="s">
        <v>114</v>
      </c>
      <c r="D379" s="0" t="n">
        <v>-3.24540227513793</v>
      </c>
      <c r="E379" s="0" t="n">
        <v>0.087478138999999</v>
      </c>
      <c r="F379" s="0" t="n">
        <v>2.40999999999999</v>
      </c>
      <c r="G379" s="0" t="n">
        <v>0</v>
      </c>
      <c r="H379" s="0" t="s">
        <v>111</v>
      </c>
      <c r="I379" s="2" t="b">
        <f aca="false">TRUE()</f>
        <v>1</v>
      </c>
      <c r="J379" s="0" t="str">
        <f aca="false">IF(AND(CODE(MID(B379,2,1))&gt;=97,CODE(MID(B379,2,1))&lt;=122),LEFT(B379,2),LEFT(B379,1))</f>
        <v>Na</v>
      </c>
      <c r="K379" s="0" t="n">
        <f aca="false">IF(J379="","",_xlfn.XLOOKUP(TRIM(J379),Metallic_Radius_Table!A:A,Metallic_Radius_Table!B:B))</f>
        <v>1.86</v>
      </c>
      <c r="L379" s="0" t="str">
        <f aca="false">IF(ISNUMBER(SEARCH("La",B379)),"La",
 IF(ISNUMBER(SEARCH("Nd",B379)),"Nd",
 IF(ISNUMBER(SEARCH("Eu",B379)),"Eu",
 IF(ISNUMBER(SEARCH("Gd",B379)),"Gd",""))))</f>
        <v/>
      </c>
      <c r="M379" s="0" t="str">
        <f aca="false">IF(L379="","",_xlfn.XLOOKUP(TRIM(L379),Metallic_Radius_Table!A:A,Metallic_Radius_Table!B:B))</f>
        <v/>
      </c>
      <c r="N379" s="0" t="str">
        <f aca="false">TRIM(LEFT(C379,FIND(",",C379)-1))</f>
        <v>Nb</v>
      </c>
      <c r="O379" s="3" t="n">
        <f aca="false">IF(N379="","",_xlfn.XLOOKUP(TRIM(N379),Metallic_Radius_Table!A:A,Metallic_Radius_Table!B:B))</f>
        <v>1.46</v>
      </c>
      <c r="P379" s="0" t="str">
        <f aca="false">TRIM(MID(C379,FIND(",",C379)+1,5))</f>
        <v>Hf</v>
      </c>
      <c r="Q379" s="0" t="n">
        <f aca="false">IF(P379="","",_xlfn.XLOOKUP(TRIM(P379),Metallic_Radius_Table!A:A,Metallic_Radius_Table!B:B))</f>
        <v>1.59</v>
      </c>
      <c r="R379" s="0" t="str">
        <f aca="false">IF(G379&gt;=1,   "Ferromagnetic / Ferrimagnetic",   IF(G379&gt;=0.05,      "Paramagnetic / Weakly magnetic",      "Antiferromagnetic / Diamagnetic"))</f>
        <v>Antiferromagnetic / Diamagnetic</v>
      </c>
      <c r="U379" s="0" t="str">
        <f aca="false">IF(G379&gt;=1,
   "FM → PM (Curie-type)",
   IF(G379&lt;0.05,
      "AFM → PM (Néel-type)",
      "No long-range magnetic transition"))</f>
        <v>AFM → PM (Néel-type)</v>
      </c>
    </row>
    <row r="380" customFormat="false" ht="14.25" hidden="false" customHeight="false" outlineLevel="0" collapsed="false">
      <c r="A380" s="0" t="s">
        <v>844</v>
      </c>
      <c r="B380" s="0" t="s">
        <v>845</v>
      </c>
      <c r="C380" s="0" t="s">
        <v>117</v>
      </c>
      <c r="D380" s="0" t="n">
        <v>-2.87953496413793</v>
      </c>
      <c r="E380" s="0" t="n">
        <v>0.128653675166665</v>
      </c>
      <c r="F380" s="0" t="n">
        <v>0</v>
      </c>
      <c r="G380" s="0" t="n">
        <v>1</v>
      </c>
      <c r="H380" s="0" t="s">
        <v>111</v>
      </c>
      <c r="I380" s="2" t="b">
        <f aca="false">TRUE()</f>
        <v>1</v>
      </c>
      <c r="J380" s="0" t="str">
        <f aca="false">IF(AND(CODE(MID(B380,2,1))&gt;=97,CODE(MID(B380,2,1))&lt;=122),LEFT(B380,2),LEFT(B380,1))</f>
        <v>Na</v>
      </c>
      <c r="K380" s="0" t="n">
        <f aca="false">IF(J380="","",_xlfn.XLOOKUP(TRIM(J380),Metallic_Radius_Table!A:A,Metallic_Radius_Table!B:B))</f>
        <v>1.86</v>
      </c>
      <c r="L380" s="0" t="str">
        <f aca="false">IF(ISNUMBER(SEARCH("La",B380)),"La",
 IF(ISNUMBER(SEARCH("Nd",B380)),"Nd",
 IF(ISNUMBER(SEARCH("Eu",B380)),"Eu",
 IF(ISNUMBER(SEARCH("Gd",B380)),"Gd",""))))</f>
        <v/>
      </c>
      <c r="M380" s="0" t="str">
        <f aca="false">IF(L380="","",_xlfn.XLOOKUP(TRIM(L380),Metallic_Radius_Table!A:A,Metallic_Radius_Table!B:B))</f>
        <v/>
      </c>
      <c r="N380" s="0" t="str">
        <f aca="false">TRIM(LEFT(C380,FIND(",",C380)-1))</f>
        <v>Hf</v>
      </c>
      <c r="O380" s="3" t="n">
        <f aca="false">IF(N380="","",_xlfn.XLOOKUP(TRIM(N380),Metallic_Radius_Table!A:A,Metallic_Radius_Table!B:B))</f>
        <v>1.59</v>
      </c>
      <c r="P380" s="0" t="str">
        <f aca="false">TRIM(MID(C380,FIND(",",C380)+1,5))</f>
        <v>W</v>
      </c>
      <c r="Q380" s="0" t="n">
        <f aca="false">IF(P380="","",_xlfn.XLOOKUP(TRIM(P380),Metallic_Radius_Table!A:A,Metallic_Radius_Table!B:B))</f>
        <v>1.41</v>
      </c>
      <c r="R380" s="0" t="str">
        <f aca="false">IF(G380&gt;=1,   "Ferromagnetic / Ferrimagnetic",   IF(G380&gt;=0.05,      "Paramagnetic / Weakly magnetic",      "Antiferromagnetic / Diamagnetic"))</f>
        <v>Ferromagnetic / Ferrimagnetic</v>
      </c>
      <c r="U380" s="0" t="str">
        <f aca="false">IF(G380&gt;=1,
   "FM → PM (Curie-type)",
   IF(G380&lt;0.05,
      "AFM → PM (Néel-type)",
      "No long-range magnetic transition"))</f>
        <v>FM → PM (Curie-type)</v>
      </c>
    </row>
    <row r="381" customFormat="false" ht="14.25" hidden="false" customHeight="false" outlineLevel="0" collapsed="false">
      <c r="A381" s="0" t="s">
        <v>846</v>
      </c>
      <c r="B381" s="0" t="s">
        <v>847</v>
      </c>
      <c r="C381" s="0" t="s">
        <v>125</v>
      </c>
      <c r="D381" s="0" t="n">
        <v>-2.61067757513793</v>
      </c>
      <c r="E381" s="0" t="n">
        <v>0.144257519416669</v>
      </c>
      <c r="F381" s="0" t="n">
        <v>0</v>
      </c>
      <c r="G381" s="0" t="n">
        <v>2</v>
      </c>
      <c r="H381" s="0" t="s">
        <v>111</v>
      </c>
      <c r="I381" s="2" t="b">
        <f aca="false">TRUE()</f>
        <v>1</v>
      </c>
      <c r="J381" s="0" t="str">
        <f aca="false">IF(AND(CODE(MID(B381,2,1))&gt;=97,CODE(MID(B381,2,1))&lt;=122),LEFT(B381,2),LEFT(B381,1))</f>
        <v>Na</v>
      </c>
      <c r="K381" s="0" t="n">
        <f aca="false">IF(J381="","",_xlfn.XLOOKUP(TRIM(J381),Metallic_Radius_Table!A:A,Metallic_Radius_Table!B:B))</f>
        <v>1.86</v>
      </c>
      <c r="L381" s="0" t="str">
        <f aca="false">IF(ISNUMBER(SEARCH("La",B381)),"La",
 IF(ISNUMBER(SEARCH("Nd",B381)),"Nd",
 IF(ISNUMBER(SEARCH("Eu",B381)),"Eu",
 IF(ISNUMBER(SEARCH("Gd",B381)),"Gd",""))))</f>
        <v/>
      </c>
      <c r="M381" s="0" t="str">
        <f aca="false">IF(L381="","",_xlfn.XLOOKUP(TRIM(L381),Metallic_Radius_Table!A:A,Metallic_Radius_Table!B:B))</f>
        <v/>
      </c>
      <c r="N381" s="0" t="str">
        <f aca="false">TRIM(LEFT(C381,FIND(",",C381)-1))</f>
        <v>Nb</v>
      </c>
      <c r="O381" s="3" t="n">
        <f aca="false">IF(N381="","",_xlfn.XLOOKUP(TRIM(N381),Metallic_Radius_Table!A:A,Metallic_Radius_Table!B:B))</f>
        <v>1.46</v>
      </c>
      <c r="P381" s="0" t="str">
        <f aca="false">TRIM(MID(C381,FIND(",",C381)+1,5))</f>
        <v>W</v>
      </c>
      <c r="Q381" s="0" t="n">
        <f aca="false">IF(P381="","",_xlfn.XLOOKUP(TRIM(P381),Metallic_Radius_Table!A:A,Metallic_Radius_Table!B:B))</f>
        <v>1.41</v>
      </c>
      <c r="R381" s="0" t="str">
        <f aca="false">IF(G381&gt;=1,   "Ferromagnetic / Ferrimagnetic",   IF(G381&gt;=0.05,      "Paramagnetic / Weakly magnetic",      "Antiferromagnetic / Diamagnetic"))</f>
        <v>Ferromagnetic / Ferrimagnetic</v>
      </c>
      <c r="U381" s="0" t="str">
        <f aca="false">IF(G381&gt;=1,
   "FM → PM (Curie-type)",
   IF(G381&lt;0.05,
      "AFM → PM (Néel-type)",
      "No long-range magnetic transition"))</f>
        <v>FM → PM (Curie-type)</v>
      </c>
    </row>
    <row r="382" customFormat="false" ht="14.25" hidden="false" customHeight="false" outlineLevel="0" collapsed="false">
      <c r="A382" s="0" t="s">
        <v>848</v>
      </c>
      <c r="B382" s="0" t="s">
        <v>849</v>
      </c>
      <c r="C382" s="0" t="s">
        <v>441</v>
      </c>
      <c r="D382" s="0" t="n">
        <v>-3.29707809370459</v>
      </c>
      <c r="E382" s="0" t="n">
        <v>0.012461632999999</v>
      </c>
      <c r="F382" s="0" t="n">
        <v>2.5592</v>
      </c>
      <c r="G382" s="4" t="n">
        <v>5.31E-005</v>
      </c>
      <c r="H382" s="0" t="s">
        <v>163</v>
      </c>
      <c r="I382" s="2" t="b">
        <f aca="false">TRUE()</f>
        <v>1</v>
      </c>
      <c r="J382" s="0" t="str">
        <f aca="false">IF(AND(CODE(MID(B382,2,1))&gt;=97,CODE(MID(B382,2,1))&lt;=122),LEFT(B382,2),LEFT(B382,1))</f>
        <v>Na</v>
      </c>
      <c r="K382" s="0" t="n">
        <f aca="false">IF(J382="","",_xlfn.XLOOKUP(TRIM(J382),Metallic_Radius_Table!A:A,Metallic_Radius_Table!B:B))</f>
        <v>1.86</v>
      </c>
      <c r="L382" s="0" t="str">
        <f aca="false">IF(ISNUMBER(SEARCH("La",B382)),"La",
 IF(ISNUMBER(SEARCH("Nd",B382)),"Nd",
 IF(ISNUMBER(SEARCH("Eu",B382)),"Eu",
 IF(ISNUMBER(SEARCH("Gd",B382)),"Gd",""))))</f>
        <v/>
      </c>
      <c r="M382" s="0" t="str">
        <f aca="false">IF(L382="","",_xlfn.XLOOKUP(TRIM(L382),Metallic_Radius_Table!A:A,Metallic_Radius_Table!B:B))</f>
        <v/>
      </c>
      <c r="N382" s="0" t="str">
        <f aca="false">TRIM(LEFT(C382,FIND(",",C382)-1))</f>
        <v>Ta</v>
      </c>
      <c r="O382" s="3" t="n">
        <f aca="false">IF(N382="","",_xlfn.XLOOKUP(TRIM(N382),Metallic_Radius_Table!A:A,Metallic_Radius_Table!B:B))</f>
        <v>1.46</v>
      </c>
      <c r="P382" s="0" t="str">
        <f aca="false">TRIM(MID(C382,FIND(",",C382)+1,5))</f>
        <v>Ti</v>
      </c>
      <c r="Q382" s="0" t="n">
        <f aca="false">IF(P382="","",_xlfn.XLOOKUP(TRIM(P382),Metallic_Radius_Table!A:A,Metallic_Radius_Table!B:B))</f>
        <v>1.47</v>
      </c>
      <c r="R382" s="0" t="str">
        <f aca="false">IF(G382&gt;=1,   "Ferromagnetic / Ferrimagnetic",   IF(G382&gt;=0.05,      "Paramagnetic / Weakly magnetic",      "Antiferromagnetic / Diamagnetic"))</f>
        <v>Antiferromagnetic / Diamagnetic</v>
      </c>
      <c r="U382" s="0" t="str">
        <f aca="false">IF(G382&gt;=1,
   "FM → PM (Curie-type)",
   IF(G382&lt;0.05,
      "AFM → PM (Néel-type)",
      "No long-range magnetic transition"))</f>
        <v>AFM → PM (Néel-type)</v>
      </c>
    </row>
    <row r="383" customFormat="false" ht="14.25" hidden="false" customHeight="false" outlineLevel="0" collapsed="false">
      <c r="A383" s="0" t="s">
        <v>850</v>
      </c>
      <c r="B383" s="0" t="s">
        <v>851</v>
      </c>
      <c r="C383" s="0" t="s">
        <v>128</v>
      </c>
      <c r="D383" s="0" t="n">
        <v>-3.15940908413793</v>
      </c>
      <c r="E383" s="0" t="n">
        <v>0.098089833249998</v>
      </c>
      <c r="F383" s="0" t="n">
        <v>2.284</v>
      </c>
      <c r="G383" s="4" t="n">
        <v>8.73E-005</v>
      </c>
      <c r="H383" s="0" t="s">
        <v>111</v>
      </c>
      <c r="I383" s="2" t="b">
        <f aca="false">TRUE()</f>
        <v>1</v>
      </c>
      <c r="J383" s="0" t="str">
        <f aca="false">IF(AND(CODE(MID(B383,2,1))&gt;=97,CODE(MID(B383,2,1))&lt;=122),LEFT(B383,2),LEFT(B383,1))</f>
        <v>Na</v>
      </c>
      <c r="K383" s="0" t="n">
        <f aca="false">IF(J383="","",_xlfn.XLOOKUP(TRIM(J383),Metallic_Radius_Table!A:A,Metallic_Radius_Table!B:B))</f>
        <v>1.86</v>
      </c>
      <c r="L383" s="0" t="str">
        <f aca="false">IF(ISNUMBER(SEARCH("La",B383)),"La",
 IF(ISNUMBER(SEARCH("Nd",B383)),"Nd",
 IF(ISNUMBER(SEARCH("Eu",B383)),"Eu",
 IF(ISNUMBER(SEARCH("Gd",B383)),"Gd",""))))</f>
        <v/>
      </c>
      <c r="M383" s="0" t="str">
        <f aca="false">IF(L383="","",_xlfn.XLOOKUP(TRIM(L383),Metallic_Radius_Table!A:A,Metallic_Radius_Table!B:B))</f>
        <v/>
      </c>
      <c r="N383" s="0" t="str">
        <f aca="false">TRIM(LEFT(C383,FIND(",",C383)-1))</f>
        <v>Zr</v>
      </c>
      <c r="O383" s="3" t="n">
        <f aca="false">IF(N383="","",_xlfn.XLOOKUP(TRIM(N383),Metallic_Radius_Table!A:A,Metallic_Radius_Table!B:B))</f>
        <v>1.6</v>
      </c>
      <c r="P383" s="0" t="str">
        <f aca="false">TRIM(MID(C383,FIND(",",C383)+1,5))</f>
        <v>Nb</v>
      </c>
      <c r="Q383" s="0" t="n">
        <f aca="false">IF(P383="","",_xlfn.XLOOKUP(TRIM(P383),Metallic_Radius_Table!A:A,Metallic_Radius_Table!B:B))</f>
        <v>1.46</v>
      </c>
      <c r="R383" s="0" t="str">
        <f aca="false">IF(G383&gt;=1,   "Ferromagnetic / Ferrimagnetic",   IF(G383&gt;=0.05,      "Paramagnetic / Weakly magnetic",      "Antiferromagnetic / Diamagnetic"))</f>
        <v>Antiferromagnetic / Diamagnetic</v>
      </c>
      <c r="U383" s="0" t="str">
        <f aca="false">IF(G383&gt;=1,
   "FM → PM (Curie-type)",
   IF(G383&lt;0.05,
      "AFM → PM (Néel-type)",
      "No long-range magnetic transition"))</f>
        <v>AFM → PM (Néel-type)</v>
      </c>
    </row>
    <row r="384" customFormat="false" ht="14.25" hidden="false" customHeight="false" outlineLevel="0" collapsed="false">
      <c r="A384" s="0" t="s">
        <v>852</v>
      </c>
      <c r="B384" s="0" t="s">
        <v>853</v>
      </c>
      <c r="C384" s="0" t="s">
        <v>131</v>
      </c>
      <c r="D384" s="0" t="n">
        <v>-2.80199522613793</v>
      </c>
      <c r="E384" s="0" t="n">
        <v>0.144335427416665</v>
      </c>
      <c r="F384" s="0" t="n">
        <v>0</v>
      </c>
      <c r="G384" s="0" t="n">
        <v>1.0005247</v>
      </c>
      <c r="H384" s="0" t="s">
        <v>111</v>
      </c>
      <c r="I384" s="2" t="b">
        <f aca="false">TRUE()</f>
        <v>1</v>
      </c>
      <c r="J384" s="0" t="str">
        <f aca="false">IF(AND(CODE(MID(B384,2,1))&gt;=97,CODE(MID(B384,2,1))&lt;=122),LEFT(B384,2),LEFT(B384,1))</f>
        <v>Na</v>
      </c>
      <c r="K384" s="0" t="n">
        <f aca="false">IF(J384="","",_xlfn.XLOOKUP(TRIM(J384),Metallic_Radius_Table!A:A,Metallic_Radius_Table!B:B))</f>
        <v>1.86</v>
      </c>
      <c r="L384" s="0" t="str">
        <f aca="false">IF(ISNUMBER(SEARCH("La",B384)),"La",
 IF(ISNUMBER(SEARCH("Nd",B384)),"Nd",
 IF(ISNUMBER(SEARCH("Eu",B384)),"Eu",
 IF(ISNUMBER(SEARCH("Gd",B384)),"Gd",""))))</f>
        <v/>
      </c>
      <c r="M384" s="0" t="str">
        <f aca="false">IF(L384="","",_xlfn.XLOOKUP(TRIM(L384),Metallic_Radius_Table!A:A,Metallic_Radius_Table!B:B))</f>
        <v/>
      </c>
      <c r="N384" s="0" t="str">
        <f aca="false">TRIM(LEFT(C384,FIND(",",C384)-1))</f>
        <v>Zr</v>
      </c>
      <c r="O384" s="3" t="n">
        <f aca="false">IF(N384="","",_xlfn.XLOOKUP(TRIM(N384),Metallic_Radius_Table!A:A,Metallic_Radius_Table!B:B))</f>
        <v>1.6</v>
      </c>
      <c r="P384" s="0" t="str">
        <f aca="false">TRIM(MID(C384,FIND(",",C384)+1,5))</f>
        <v>W</v>
      </c>
      <c r="Q384" s="0" t="n">
        <f aca="false">IF(P384="","",_xlfn.XLOOKUP(TRIM(P384),Metallic_Radius_Table!A:A,Metallic_Radius_Table!B:B))</f>
        <v>1.41</v>
      </c>
      <c r="R384" s="0" t="str">
        <f aca="false">IF(G384&gt;=1,   "Ferromagnetic / Ferrimagnetic",   IF(G384&gt;=0.05,      "Paramagnetic / Weakly magnetic",      "Antiferromagnetic / Diamagnetic"))</f>
        <v>Ferromagnetic / Ferrimagnetic</v>
      </c>
      <c r="U384" s="0" t="str">
        <f aca="false">IF(G384&gt;=1,
   "FM → PM (Curie-type)",
   IF(G384&lt;0.05,
      "AFM → PM (Néel-type)",
      "No long-range magnetic transition"))</f>
        <v>FM → PM (Curie-type)</v>
      </c>
    </row>
    <row r="385" customFormat="false" ht="14.25" hidden="false" customHeight="false" outlineLevel="0" collapsed="false">
      <c r="A385" s="0" t="s">
        <v>854</v>
      </c>
      <c r="B385" s="0" t="s">
        <v>855</v>
      </c>
      <c r="C385" s="0" t="s">
        <v>323</v>
      </c>
      <c r="D385" s="0" t="n">
        <v>-2.59373689263793</v>
      </c>
      <c r="E385" s="0" t="n">
        <v>0.192649332000002</v>
      </c>
      <c r="F385" s="0" t="n">
        <v>0</v>
      </c>
      <c r="G385" s="0" t="n">
        <v>10.0000104</v>
      </c>
      <c r="H385" s="0" t="s">
        <v>111</v>
      </c>
      <c r="I385" s="2" t="b">
        <f aca="false">TRUE()</f>
        <v>1</v>
      </c>
      <c r="J385" s="0" t="str">
        <f aca="false">IF(AND(CODE(MID(B385,2,1))&gt;=97,CODE(MID(B385,2,1))&lt;=122),LEFT(B385,2),LEFT(B385,1))</f>
        <v>Na</v>
      </c>
      <c r="K385" s="0" t="n">
        <f aca="false">IF(J385="","",_xlfn.XLOOKUP(TRIM(J385),Metallic_Radius_Table!A:A,Metallic_Radius_Table!B:B))</f>
        <v>1.86</v>
      </c>
      <c r="L385" s="0" t="str">
        <f aca="false">IF(ISNUMBER(SEARCH("La",B385)),"La",
 IF(ISNUMBER(SEARCH("Nd",B385)),"Nd",
 IF(ISNUMBER(SEARCH("Eu",B385)),"Eu",
 IF(ISNUMBER(SEARCH("Gd",B385)),"Gd",""))))</f>
        <v>Eu</v>
      </c>
      <c r="M385" s="0" t="n">
        <f aca="false">IF(L385="","",_xlfn.XLOOKUP(TRIM(L385),Metallic_Radius_Table!A:A,Metallic_Radius_Table!B:B))</f>
        <v>1.99</v>
      </c>
      <c r="N385" s="0" t="str">
        <f aca="false">TRIM(LEFT(C385,FIND(",",C385)-1))</f>
        <v>Fe</v>
      </c>
      <c r="O385" s="3" t="n">
        <f aca="false">IF(N385="","",_xlfn.XLOOKUP(TRIM(N385),Metallic_Radius_Table!A:A,Metallic_Radius_Table!B:B))</f>
        <v>1.26</v>
      </c>
      <c r="P385" s="0" t="str">
        <f aca="false">TRIM(MID(C385,FIND(",",C385)+1,5))</f>
        <v>Hf</v>
      </c>
      <c r="Q385" s="0" t="n">
        <f aca="false">IF(P385="","",_xlfn.XLOOKUP(TRIM(P385),Metallic_Radius_Table!A:A,Metallic_Radius_Table!B:B))</f>
        <v>1.59</v>
      </c>
      <c r="R385" s="0" t="str">
        <f aca="false">IF(G385&gt;=1,   "Ferromagnetic / Ferrimagnetic",   IF(G385&gt;=0.05,      "Paramagnetic / Weakly magnetic",      "Antiferromagnetic / Diamagnetic"))</f>
        <v>Ferromagnetic / Ferrimagnetic</v>
      </c>
      <c r="U385" s="0" t="str">
        <f aca="false">IF(G385&gt;=1,
   "FM → PM (Curie-type)",
   IF(G385&lt;0.05,
      "AFM → PM (Néel-type)",
      "No long-range magnetic transition"))</f>
        <v>FM → PM (Curie-type)</v>
      </c>
    </row>
    <row r="386" customFormat="false" ht="14.25" hidden="false" customHeight="false" outlineLevel="0" collapsed="false">
      <c r="A386" s="0" t="s">
        <v>856</v>
      </c>
      <c r="B386" s="0" t="s">
        <v>857</v>
      </c>
      <c r="C386" s="0" t="s">
        <v>114</v>
      </c>
      <c r="D386" s="0" t="n">
        <v>-3.27823663363793</v>
      </c>
      <c r="E386" s="0" t="n">
        <v>0.015002965375003</v>
      </c>
      <c r="F386" s="0" t="n">
        <v>0.0038</v>
      </c>
      <c r="G386" s="0" t="n">
        <v>6.9999966</v>
      </c>
      <c r="H386" s="0" t="s">
        <v>111</v>
      </c>
      <c r="I386" s="2" t="b">
        <f aca="false">TRUE()</f>
        <v>1</v>
      </c>
      <c r="J386" s="0" t="str">
        <f aca="false">IF(AND(CODE(MID(B386,2,1))&gt;=97,CODE(MID(B386,2,1))&lt;=122),LEFT(B386,2),LEFT(B386,1))</f>
        <v>Na</v>
      </c>
      <c r="K386" s="0" t="n">
        <f aca="false">IF(J386="","",_xlfn.XLOOKUP(TRIM(J386),Metallic_Radius_Table!A:A,Metallic_Radius_Table!B:B))</f>
        <v>1.86</v>
      </c>
      <c r="L386" s="0" t="str">
        <f aca="false">IF(ISNUMBER(SEARCH("La",B386)),"La",
 IF(ISNUMBER(SEARCH("Nd",B386)),"Nd",
 IF(ISNUMBER(SEARCH("Eu",B386)),"Eu",
 IF(ISNUMBER(SEARCH("Gd",B386)),"Gd",""))))</f>
        <v>Eu</v>
      </c>
      <c r="M386" s="0" t="n">
        <f aca="false">IF(L386="","",_xlfn.XLOOKUP(TRIM(L386),Metallic_Radius_Table!A:A,Metallic_Radius_Table!B:B))</f>
        <v>1.99</v>
      </c>
      <c r="N386" s="0" t="str">
        <f aca="false">TRIM(LEFT(C386,FIND(",",C386)-1))</f>
        <v>Nb</v>
      </c>
      <c r="O386" s="3" t="n">
        <f aca="false">IF(N386="","",_xlfn.XLOOKUP(TRIM(N386),Metallic_Radius_Table!A:A,Metallic_Radius_Table!B:B))</f>
        <v>1.46</v>
      </c>
      <c r="P386" s="0" t="str">
        <f aca="false">TRIM(MID(C386,FIND(",",C386)+1,5))</f>
        <v>Hf</v>
      </c>
      <c r="Q386" s="0" t="n">
        <f aca="false">IF(P386="","",_xlfn.XLOOKUP(TRIM(P386),Metallic_Radius_Table!A:A,Metallic_Radius_Table!B:B))</f>
        <v>1.59</v>
      </c>
      <c r="R386" s="0" t="str">
        <f aca="false">IF(G386&gt;=1,   "Ferromagnetic / Ferrimagnetic",   IF(G386&gt;=0.05,      "Paramagnetic / Weakly magnetic",      "Antiferromagnetic / Diamagnetic"))</f>
        <v>Ferromagnetic / Ferrimagnetic</v>
      </c>
      <c r="U386" s="0" t="str">
        <f aca="false">IF(G386&gt;=1,
   "FM → PM (Curie-type)",
   IF(G386&lt;0.05,
      "AFM → PM (Néel-type)",
      "No long-range magnetic transition"))</f>
        <v>FM → PM (Curie-type)</v>
      </c>
    </row>
    <row r="387" customFormat="false" ht="14.25" hidden="false" customHeight="false" outlineLevel="0" collapsed="false">
      <c r="A387" s="0" t="s">
        <v>858</v>
      </c>
      <c r="B387" s="0" t="s">
        <v>859</v>
      </c>
      <c r="C387" s="0" t="s">
        <v>148</v>
      </c>
      <c r="D387" s="0" t="n">
        <v>-3.28482075797126</v>
      </c>
      <c r="E387" s="0" t="n">
        <v>0.147262332599975</v>
      </c>
      <c r="F387" s="0" t="n">
        <v>0</v>
      </c>
      <c r="G387" s="0" t="n">
        <v>6.0080204</v>
      </c>
      <c r="H387" s="0" t="s">
        <v>111</v>
      </c>
      <c r="I387" s="2" t="b">
        <f aca="false">TRUE()</f>
        <v>1</v>
      </c>
      <c r="J387" s="0" t="str">
        <f aca="false">IF(AND(CODE(MID(B387,2,1))&gt;=97,CODE(MID(B387,2,1))&lt;=122),LEFT(B387,2),LEFT(B387,1))</f>
        <v>Na</v>
      </c>
      <c r="K387" s="0" t="n">
        <f aca="false">IF(J387="","",_xlfn.XLOOKUP(TRIM(J387),Metallic_Radius_Table!A:A,Metallic_Radius_Table!B:B))</f>
        <v>1.86</v>
      </c>
      <c r="L387" s="0" t="str">
        <f aca="false">IF(ISNUMBER(SEARCH("La",B387)),"La",
 IF(ISNUMBER(SEARCH("Nd",B387)),"Nd",
 IF(ISNUMBER(SEARCH("Eu",B387)),"Eu",
 IF(ISNUMBER(SEARCH("Gd",B387)),"Gd",""))))</f>
        <v>Eu</v>
      </c>
      <c r="M387" s="0" t="n">
        <f aca="false">IF(L387="","",_xlfn.XLOOKUP(TRIM(L387),Metallic_Radius_Table!A:A,Metallic_Radius_Table!B:B))</f>
        <v>1.99</v>
      </c>
      <c r="N387" s="0" t="str">
        <f aca="false">TRIM(LEFT(C387,FIND(",",C387)-1))</f>
        <v>Hf</v>
      </c>
      <c r="O387" s="3" t="n">
        <f aca="false">IF(N387="","",_xlfn.XLOOKUP(TRIM(N387),Metallic_Radius_Table!A:A,Metallic_Radius_Table!B:B))</f>
        <v>1.59</v>
      </c>
      <c r="P387" s="0" t="str">
        <f aca="false">TRIM(MID(C387,FIND(",",C387)+1,5))</f>
        <v>Ti</v>
      </c>
      <c r="Q387" s="0" t="n">
        <f aca="false">IF(P387="","",_xlfn.XLOOKUP(TRIM(P387),Metallic_Radius_Table!A:A,Metallic_Radius_Table!B:B))</f>
        <v>1.47</v>
      </c>
      <c r="R387" s="0" t="str">
        <f aca="false">IF(G387&gt;=1,   "Ferromagnetic / Ferrimagnetic",   IF(G387&gt;=0.05,      "Paramagnetic / Weakly magnetic",      "Antiferromagnetic / Diamagnetic"))</f>
        <v>Ferromagnetic / Ferrimagnetic</v>
      </c>
      <c r="U387" s="0" t="str">
        <f aca="false">IF(G387&gt;=1,
   "FM → PM (Curie-type)",
   IF(G387&lt;0.05,
      "AFM → PM (Néel-type)",
      "No long-range magnetic transition"))</f>
        <v>FM → PM (Curie-type)</v>
      </c>
    </row>
    <row r="388" customFormat="false" ht="14.25" hidden="false" customHeight="false" outlineLevel="0" collapsed="false">
      <c r="A388" s="0" t="s">
        <v>860</v>
      </c>
      <c r="B388" s="0" t="s">
        <v>861</v>
      </c>
      <c r="C388" s="0" t="s">
        <v>117</v>
      </c>
      <c r="D388" s="0" t="n">
        <v>-2.90994488063793</v>
      </c>
      <c r="E388" s="0" t="n">
        <v>0.085468073201093</v>
      </c>
      <c r="F388" s="0" t="n">
        <v>0</v>
      </c>
      <c r="G388" s="0" t="n">
        <v>8.000003</v>
      </c>
      <c r="H388" s="0" t="s">
        <v>111</v>
      </c>
      <c r="I388" s="2" t="b">
        <f aca="false">TRUE()</f>
        <v>1</v>
      </c>
      <c r="J388" s="0" t="str">
        <f aca="false">IF(AND(CODE(MID(B388,2,1))&gt;=97,CODE(MID(B388,2,1))&lt;=122),LEFT(B388,2),LEFT(B388,1))</f>
        <v>Na</v>
      </c>
      <c r="K388" s="0" t="n">
        <f aca="false">IF(J388="","",_xlfn.XLOOKUP(TRIM(J388),Metallic_Radius_Table!A:A,Metallic_Radius_Table!B:B))</f>
        <v>1.86</v>
      </c>
      <c r="L388" s="0" t="str">
        <f aca="false">IF(ISNUMBER(SEARCH("La",B388)),"La",
 IF(ISNUMBER(SEARCH("Nd",B388)),"Nd",
 IF(ISNUMBER(SEARCH("Eu",B388)),"Eu",
 IF(ISNUMBER(SEARCH("Gd",B388)),"Gd",""))))</f>
        <v>Eu</v>
      </c>
      <c r="M388" s="0" t="n">
        <f aca="false">IF(L388="","",_xlfn.XLOOKUP(TRIM(L388),Metallic_Radius_Table!A:A,Metallic_Radius_Table!B:B))</f>
        <v>1.99</v>
      </c>
      <c r="N388" s="0" t="str">
        <f aca="false">TRIM(LEFT(C388,FIND(",",C388)-1))</f>
        <v>Hf</v>
      </c>
      <c r="O388" s="3" t="n">
        <f aca="false">IF(N388="","",_xlfn.XLOOKUP(TRIM(N388),Metallic_Radius_Table!A:A,Metallic_Radius_Table!B:B))</f>
        <v>1.59</v>
      </c>
      <c r="P388" s="0" t="str">
        <f aca="false">TRIM(MID(C388,FIND(",",C388)+1,5))</f>
        <v>W</v>
      </c>
      <c r="Q388" s="0" t="n">
        <f aca="false">IF(P388="","",_xlfn.XLOOKUP(TRIM(P388),Metallic_Radius_Table!A:A,Metallic_Radius_Table!B:B))</f>
        <v>1.41</v>
      </c>
      <c r="R388" s="0" t="str">
        <f aca="false">IF(G388&gt;=1,   "Ferromagnetic / Ferrimagnetic",   IF(G388&gt;=0.05,      "Paramagnetic / Weakly magnetic",      "Antiferromagnetic / Diamagnetic"))</f>
        <v>Ferromagnetic / Ferrimagnetic</v>
      </c>
      <c r="U388" s="0" t="str">
        <f aca="false">IF(G388&gt;=1,
   "FM → PM (Curie-type)",
   IF(G388&lt;0.05,
      "AFM → PM (Néel-type)",
      "No long-range magnetic transition"))</f>
        <v>FM → PM (Curie-type)</v>
      </c>
    </row>
    <row r="389" customFormat="false" ht="14.25" hidden="false" customHeight="false" outlineLevel="0" collapsed="false">
      <c r="A389" s="0" t="s">
        <v>862</v>
      </c>
      <c r="B389" s="0" t="s">
        <v>863</v>
      </c>
      <c r="C389" s="0" t="s">
        <v>125</v>
      </c>
      <c r="D389" s="0" t="n">
        <v>-2.64287374563793</v>
      </c>
      <c r="E389" s="0" t="n">
        <v>0.099080744374996</v>
      </c>
      <c r="F389" s="0" t="n">
        <v>0</v>
      </c>
      <c r="G389" s="0" t="n">
        <v>5.0353801</v>
      </c>
      <c r="H389" s="0" t="s">
        <v>111</v>
      </c>
      <c r="I389" s="2" t="b">
        <f aca="false">TRUE()</f>
        <v>1</v>
      </c>
      <c r="J389" s="0" t="str">
        <f aca="false">IF(AND(CODE(MID(B389,2,1))&gt;=97,CODE(MID(B389,2,1))&lt;=122),LEFT(B389,2),LEFT(B389,1))</f>
        <v>Na</v>
      </c>
      <c r="K389" s="0" t="n">
        <f aca="false">IF(J389="","",_xlfn.XLOOKUP(TRIM(J389),Metallic_Radius_Table!A:A,Metallic_Radius_Table!B:B))</f>
        <v>1.86</v>
      </c>
      <c r="L389" s="0" t="str">
        <f aca="false">IF(ISNUMBER(SEARCH("La",B389)),"La",
 IF(ISNUMBER(SEARCH("Nd",B389)),"Nd",
 IF(ISNUMBER(SEARCH("Eu",B389)),"Eu",
 IF(ISNUMBER(SEARCH("Gd",B389)),"Gd",""))))</f>
        <v>Eu</v>
      </c>
      <c r="M389" s="0" t="n">
        <f aca="false">IF(L389="","",_xlfn.XLOOKUP(TRIM(L389),Metallic_Radius_Table!A:A,Metallic_Radius_Table!B:B))</f>
        <v>1.99</v>
      </c>
      <c r="N389" s="0" t="str">
        <f aca="false">TRIM(LEFT(C389,FIND(",",C389)-1))</f>
        <v>Nb</v>
      </c>
      <c r="O389" s="3" t="n">
        <f aca="false">IF(N389="","",_xlfn.XLOOKUP(TRIM(N389),Metallic_Radius_Table!A:A,Metallic_Radius_Table!B:B))</f>
        <v>1.46</v>
      </c>
      <c r="P389" s="0" t="str">
        <f aca="false">TRIM(MID(C389,FIND(",",C389)+1,5))</f>
        <v>W</v>
      </c>
      <c r="Q389" s="0" t="n">
        <f aca="false">IF(P389="","",_xlfn.XLOOKUP(TRIM(P389),Metallic_Radius_Table!A:A,Metallic_Radius_Table!B:B))</f>
        <v>1.41</v>
      </c>
      <c r="R389" s="0" t="str">
        <f aca="false">IF(G389&gt;=1,   "Ferromagnetic / Ferrimagnetic",   IF(G389&gt;=0.05,      "Paramagnetic / Weakly magnetic",      "Antiferromagnetic / Diamagnetic"))</f>
        <v>Ferromagnetic / Ferrimagnetic</v>
      </c>
      <c r="U389" s="0" t="str">
        <f aca="false">IF(G389&gt;=1,
   "FM → PM (Curie-type)",
   IF(G389&lt;0.05,
      "AFM → PM (Néel-type)",
      "No long-range magnetic transition"))</f>
        <v>FM → PM (Curie-type)</v>
      </c>
    </row>
    <row r="390" customFormat="false" ht="14.25" hidden="false" customHeight="false" outlineLevel="0" collapsed="false">
      <c r="A390" s="0" t="s">
        <v>864</v>
      </c>
      <c r="B390" s="0" t="s">
        <v>865</v>
      </c>
      <c r="C390" s="0" t="s">
        <v>216</v>
      </c>
      <c r="D390" s="0" t="n">
        <v>-3.19584752297126</v>
      </c>
      <c r="E390" s="0" t="n">
        <v>0.174377581849975</v>
      </c>
      <c r="F390" s="0" t="n">
        <v>0</v>
      </c>
      <c r="G390" s="0" t="n">
        <v>6.000604</v>
      </c>
      <c r="H390" s="0" t="s">
        <v>111</v>
      </c>
      <c r="I390" s="2" t="b">
        <f aca="false">TRUE()</f>
        <v>1</v>
      </c>
      <c r="J390" s="0" t="str">
        <f aca="false">IF(AND(CODE(MID(B390,2,1))&gt;=97,CODE(MID(B390,2,1))&lt;=122),LEFT(B390,2),LEFT(B390,1))</f>
        <v>Na</v>
      </c>
      <c r="K390" s="0" t="n">
        <f aca="false">IF(J390="","",_xlfn.XLOOKUP(TRIM(J390),Metallic_Radius_Table!A:A,Metallic_Radius_Table!B:B))</f>
        <v>1.86</v>
      </c>
      <c r="L390" s="0" t="str">
        <f aca="false">IF(ISNUMBER(SEARCH("La",B390)),"La",
 IF(ISNUMBER(SEARCH("Nd",B390)),"Nd",
 IF(ISNUMBER(SEARCH("Eu",B390)),"Eu",
 IF(ISNUMBER(SEARCH("Gd",B390)),"Gd",""))))</f>
        <v>Eu</v>
      </c>
      <c r="M390" s="0" t="n">
        <f aca="false">IF(L390="","",_xlfn.XLOOKUP(TRIM(L390),Metallic_Radius_Table!A:A,Metallic_Radius_Table!B:B))</f>
        <v>1.99</v>
      </c>
      <c r="N390" s="0" t="str">
        <f aca="false">TRIM(LEFT(C390,FIND(",",C390)-1))</f>
        <v>Zr</v>
      </c>
      <c r="O390" s="3" t="n">
        <f aca="false">IF(N390="","",_xlfn.XLOOKUP(TRIM(N390),Metallic_Radius_Table!A:A,Metallic_Radius_Table!B:B))</f>
        <v>1.6</v>
      </c>
      <c r="P390" s="0" t="str">
        <f aca="false">TRIM(MID(C390,FIND(",",C390)+1,5))</f>
        <v>Ti</v>
      </c>
      <c r="Q390" s="0" t="n">
        <f aca="false">IF(P390="","",_xlfn.XLOOKUP(TRIM(P390),Metallic_Radius_Table!A:A,Metallic_Radius_Table!B:B))</f>
        <v>1.47</v>
      </c>
      <c r="R390" s="0" t="str">
        <f aca="false">IF(G390&gt;=1,   "Ferromagnetic / Ferrimagnetic",   IF(G390&gt;=0.05,      "Paramagnetic / Weakly magnetic",      "Antiferromagnetic / Diamagnetic"))</f>
        <v>Ferromagnetic / Ferrimagnetic</v>
      </c>
      <c r="U390" s="0" t="str">
        <f aca="false">IF(G390&gt;=1,
   "FM → PM (Curie-type)",
   IF(G390&lt;0.05,
      "AFM → PM (Néel-type)",
      "No long-range magnetic transition"))</f>
        <v>FM → PM (Curie-type)</v>
      </c>
    </row>
    <row r="391" customFormat="false" ht="14.25" hidden="false" customHeight="false" outlineLevel="0" collapsed="false">
      <c r="A391" s="0" t="s">
        <v>866</v>
      </c>
      <c r="B391" s="0" t="s">
        <v>867</v>
      </c>
      <c r="C391" s="0" t="s">
        <v>131</v>
      </c>
      <c r="D391" s="0" t="n">
        <v>-2.83494627163793</v>
      </c>
      <c r="E391" s="0" t="n">
        <v>0.098608696451094</v>
      </c>
      <c r="F391" s="0" t="n">
        <v>0</v>
      </c>
      <c r="G391" s="0" t="n">
        <v>8.0000001</v>
      </c>
      <c r="H391" s="0" t="s">
        <v>111</v>
      </c>
      <c r="I391" s="2" t="b">
        <f aca="false">TRUE()</f>
        <v>1</v>
      </c>
      <c r="J391" s="0" t="str">
        <f aca="false">IF(AND(CODE(MID(B391,2,1))&gt;=97,CODE(MID(B391,2,1))&lt;=122),LEFT(B391,2),LEFT(B391,1))</f>
        <v>Na</v>
      </c>
      <c r="K391" s="0" t="n">
        <f aca="false">IF(J391="","",_xlfn.XLOOKUP(TRIM(J391),Metallic_Radius_Table!A:A,Metallic_Radius_Table!B:B))</f>
        <v>1.86</v>
      </c>
      <c r="L391" s="0" t="str">
        <f aca="false">IF(ISNUMBER(SEARCH("La",B391)),"La",
 IF(ISNUMBER(SEARCH("Nd",B391)),"Nd",
 IF(ISNUMBER(SEARCH("Eu",B391)),"Eu",
 IF(ISNUMBER(SEARCH("Gd",B391)),"Gd",""))))</f>
        <v>Eu</v>
      </c>
      <c r="M391" s="0" t="n">
        <f aca="false">IF(L391="","",_xlfn.XLOOKUP(TRIM(L391),Metallic_Radius_Table!A:A,Metallic_Radius_Table!B:B))</f>
        <v>1.99</v>
      </c>
      <c r="N391" s="0" t="str">
        <f aca="false">TRIM(LEFT(C391,FIND(",",C391)-1))</f>
        <v>Zr</v>
      </c>
      <c r="O391" s="3" t="n">
        <f aca="false">IF(N391="","",_xlfn.XLOOKUP(TRIM(N391),Metallic_Radius_Table!A:A,Metallic_Radius_Table!B:B))</f>
        <v>1.6</v>
      </c>
      <c r="P391" s="0" t="str">
        <f aca="false">TRIM(MID(C391,FIND(",",C391)+1,5))</f>
        <v>W</v>
      </c>
      <c r="Q391" s="0" t="n">
        <f aca="false">IF(P391="","",_xlfn.XLOOKUP(TRIM(P391),Metallic_Radius_Table!A:A,Metallic_Radius_Table!B:B))</f>
        <v>1.41</v>
      </c>
      <c r="R391" s="0" t="str">
        <f aca="false">IF(G391&gt;=1,   "Ferromagnetic / Ferrimagnetic",   IF(G391&gt;=0.05,      "Paramagnetic / Weakly magnetic",      "Antiferromagnetic / Diamagnetic"))</f>
        <v>Ferromagnetic / Ferrimagnetic</v>
      </c>
      <c r="U391" s="0" t="str">
        <f aca="false">IF(G391&gt;=1,
   "FM → PM (Curie-type)",
   IF(G391&lt;0.05,
      "AFM → PM (Néel-type)",
      "No long-range magnetic transition"))</f>
        <v>FM → PM (Curie-type)</v>
      </c>
    </row>
    <row r="392" customFormat="false" ht="14.25" hidden="false" customHeight="false" outlineLevel="0" collapsed="false">
      <c r="A392" s="0" t="s">
        <v>868</v>
      </c>
      <c r="B392" s="0" t="s">
        <v>869</v>
      </c>
      <c r="C392" s="0" t="s">
        <v>688</v>
      </c>
      <c r="D392" s="0" t="n">
        <v>-2.52033343299999</v>
      </c>
      <c r="E392" s="0" t="n">
        <v>0</v>
      </c>
      <c r="F392" s="0" t="n">
        <v>0</v>
      </c>
      <c r="G392" s="0" t="n">
        <v>5.9937012</v>
      </c>
      <c r="H392" s="0" t="s">
        <v>352</v>
      </c>
      <c r="I392" s="2" t="b">
        <f aca="false">TRUE()</f>
        <v>1</v>
      </c>
      <c r="J392" s="0" t="str">
        <f aca="false">IF(AND(CODE(MID(B392,2,1))&gt;=97,CODE(MID(B392,2,1))&lt;=122),LEFT(B392,2),LEFT(B392,1))</f>
        <v>Nd</v>
      </c>
      <c r="K392" s="0" t="n">
        <f aca="false">IF(J392="","",_xlfn.XLOOKUP(TRIM(J392),Metallic_Radius_Table!A:A,Metallic_Radius_Table!B:B))</f>
        <v>1.82</v>
      </c>
      <c r="L392" s="0" t="str">
        <f aca="false">IF(ISNUMBER(SEARCH("La",B392)),"La",
 IF(ISNUMBER(SEARCH("Nd",B392)),"Nd",
 IF(ISNUMBER(SEARCH("Eu",B392)),"Eu",
 IF(ISNUMBER(SEARCH("Gd",B392)),"Gd",""))))</f>
        <v>Nd</v>
      </c>
      <c r="M392" s="0" t="n">
        <f aca="false">IF(L392="","",_xlfn.XLOOKUP(TRIM(L392),Metallic_Radius_Table!A:A,Metallic_Radius_Table!B:B))</f>
        <v>1.82</v>
      </c>
      <c r="N392" s="0" t="str">
        <f aca="false">TRIM(LEFT(C392,FIND(",",C392)-1))</f>
        <v>Co</v>
      </c>
      <c r="O392" s="3" t="n">
        <f aca="false">IF(N392="","",_xlfn.XLOOKUP(TRIM(N392),Metallic_Radius_Table!A:A,Metallic_Radius_Table!B:B))</f>
        <v>1.25</v>
      </c>
      <c r="P392" s="0" t="str">
        <f aca="false">TRIM(MID(C392,FIND(",",C392)+1,5))</f>
        <v>Ni</v>
      </c>
      <c r="Q392" s="0" t="n">
        <f aca="false">IF(P392="","",_xlfn.XLOOKUP(TRIM(P392),Metallic_Radius_Table!A:A,Metallic_Radius_Table!B:B))</f>
        <v>1.24</v>
      </c>
      <c r="R392" s="0" t="str">
        <f aca="false">IF(G392&gt;=1,   "Ferromagnetic / Ferrimagnetic",   IF(G392&gt;=0.05,      "Paramagnetic / Weakly magnetic",      "Antiferromagnetic / Diamagnetic"))</f>
        <v>Ferromagnetic / Ferrimagnetic</v>
      </c>
      <c r="U392" s="0" t="str">
        <f aca="false">IF(G392&gt;=1,
   "FM → PM (Curie-type)",
   IF(G392&lt;0.05,
      "AFM → PM (Néel-type)",
      "No long-range magnetic transition"))</f>
        <v>FM → PM (Curie-type)</v>
      </c>
    </row>
    <row r="393" customFormat="false" ht="14.25" hidden="false" customHeight="false" outlineLevel="0" collapsed="false">
      <c r="A393" s="0" t="s">
        <v>870</v>
      </c>
      <c r="B393" s="0" t="s">
        <v>871</v>
      </c>
      <c r="C393" s="0" t="s">
        <v>31</v>
      </c>
      <c r="D393" s="0" t="n">
        <v>-2.4887151305</v>
      </c>
      <c r="E393" s="0" t="n">
        <v>0.093750720833332</v>
      </c>
      <c r="F393" s="0" t="n">
        <v>0</v>
      </c>
      <c r="G393" s="0" t="n">
        <v>2.74530359999999</v>
      </c>
      <c r="H393" s="0" t="s">
        <v>352</v>
      </c>
      <c r="I393" s="2" t="b">
        <f aca="false">TRUE()</f>
        <v>1</v>
      </c>
      <c r="J393" s="0" t="str">
        <f aca="false">IF(AND(CODE(MID(B393,2,1))&gt;=97,CODE(MID(B393,2,1))&lt;=122),LEFT(B393,2),LEFT(B393,1))</f>
        <v>Nd</v>
      </c>
      <c r="K393" s="0" t="n">
        <f aca="false">IF(J393="","",_xlfn.XLOOKUP(TRIM(J393),Metallic_Radius_Table!A:A,Metallic_Radius_Table!B:B))</f>
        <v>1.82</v>
      </c>
      <c r="L393" s="0" t="str">
        <f aca="false">IF(ISNUMBER(SEARCH("La",B393)),"La",
 IF(ISNUMBER(SEARCH("Nd",B393)),"Nd",
 IF(ISNUMBER(SEARCH("Eu",B393)),"Eu",
 IF(ISNUMBER(SEARCH("Gd",B393)),"Gd",""))))</f>
        <v>Nd</v>
      </c>
      <c r="M393" s="0" t="n">
        <f aca="false">IF(L393="","",_xlfn.XLOOKUP(TRIM(L393),Metallic_Radius_Table!A:A,Metallic_Radius_Table!B:B))</f>
        <v>1.82</v>
      </c>
      <c r="N393" s="0" t="str">
        <f aca="false">TRIM(LEFT(C393,FIND(",",C393)-1))</f>
        <v>Co</v>
      </c>
      <c r="O393" s="3" t="n">
        <f aca="false">IF(N393="","",_xlfn.XLOOKUP(TRIM(N393),Metallic_Radius_Table!A:A,Metallic_Radius_Table!B:B))</f>
        <v>1.25</v>
      </c>
      <c r="P393" s="0" t="str">
        <f aca="false">TRIM(MID(C393,FIND(",",C393)+1,5))</f>
        <v>Ru</v>
      </c>
      <c r="Q393" s="0" t="n">
        <f aca="false">IF(P393="","",_xlfn.XLOOKUP(TRIM(P393),Metallic_Radius_Table!A:A,Metallic_Radius_Table!B:B))</f>
        <v>1.34</v>
      </c>
      <c r="R393" s="0" t="str">
        <f aca="false">IF(G393&gt;=1,   "Ferromagnetic / Ferrimagnetic",   IF(G393&gt;=0.05,      "Paramagnetic / Weakly magnetic",      "Antiferromagnetic / Diamagnetic"))</f>
        <v>Ferromagnetic / Ferrimagnetic</v>
      </c>
      <c r="U393" s="0" t="str">
        <f aca="false">IF(G393&gt;=1,
   "FM → PM (Curie-type)",
   IF(G393&lt;0.05,
      "AFM → PM (Néel-type)",
      "No long-range magnetic transition"))</f>
        <v>FM → PM (Curie-type)</v>
      </c>
    </row>
    <row r="394" customFormat="false" ht="14.25" hidden="false" customHeight="false" outlineLevel="0" collapsed="false">
      <c r="A394" s="0" t="s">
        <v>872</v>
      </c>
      <c r="B394" s="0" t="s">
        <v>873</v>
      </c>
      <c r="C394" s="0" t="s">
        <v>276</v>
      </c>
      <c r="D394" s="0" t="n">
        <v>-2.61360871349999</v>
      </c>
      <c r="E394" s="0" t="n">
        <v>0</v>
      </c>
      <c r="F394" s="0" t="n">
        <v>0</v>
      </c>
      <c r="G394" s="0" t="n">
        <v>12.0000017</v>
      </c>
      <c r="H394" s="0" t="s">
        <v>352</v>
      </c>
      <c r="I394" s="2" t="b">
        <f aca="false">TRUE()</f>
        <v>1</v>
      </c>
      <c r="J394" s="0" t="str">
        <f aca="false">IF(AND(CODE(MID(B394,2,1))&gt;=97,CODE(MID(B394,2,1))&lt;=122),LEFT(B394,2),LEFT(B394,1))</f>
        <v>Nd</v>
      </c>
      <c r="K394" s="0" t="n">
        <f aca="false">IF(J394="","",_xlfn.XLOOKUP(TRIM(J394),Metallic_Radius_Table!A:A,Metallic_Radius_Table!B:B))</f>
        <v>1.82</v>
      </c>
      <c r="L394" s="0" t="str">
        <f aca="false">IF(ISNUMBER(SEARCH("La",B394)),"La",
 IF(ISNUMBER(SEARCH("Nd",B394)),"Nd",
 IF(ISNUMBER(SEARCH("Eu",B394)),"Eu",
 IF(ISNUMBER(SEARCH("Gd",B394)),"Gd",""))))</f>
        <v>Nd</v>
      </c>
      <c r="M394" s="0" t="n">
        <f aca="false">IF(L394="","",_xlfn.XLOOKUP(TRIM(L394),Metallic_Radius_Table!A:A,Metallic_Radius_Table!B:B))</f>
        <v>1.82</v>
      </c>
      <c r="N394" s="0" t="str">
        <f aca="false">TRIM(LEFT(C394,FIND(",",C394)-1))</f>
        <v>Fe</v>
      </c>
      <c r="O394" s="3" t="n">
        <f aca="false">IF(N394="","",_xlfn.XLOOKUP(TRIM(N394),Metallic_Radius_Table!A:A,Metallic_Radius_Table!B:B))</f>
        <v>1.26</v>
      </c>
      <c r="P394" s="0" t="str">
        <f aca="false">TRIM(MID(C394,FIND(",",C394)+1,5))</f>
        <v>Ni</v>
      </c>
      <c r="Q394" s="0" t="n">
        <f aca="false">IF(P394="","",_xlfn.XLOOKUP(TRIM(P394),Metallic_Radius_Table!A:A,Metallic_Radius_Table!B:B))</f>
        <v>1.24</v>
      </c>
      <c r="R394" s="0" t="str">
        <f aca="false">IF(G394&gt;=1,   "Ferromagnetic / Ferrimagnetic",   IF(G394&gt;=0.05,      "Paramagnetic / Weakly magnetic",      "Antiferromagnetic / Diamagnetic"))</f>
        <v>Ferromagnetic / Ferrimagnetic</v>
      </c>
      <c r="U394" s="0" t="str">
        <f aca="false">IF(G394&gt;=1,
   "FM → PM (Curie-type)",
   IF(G394&lt;0.05,
      "AFM → PM (Néel-type)",
      "No long-range magnetic transition"))</f>
        <v>FM → PM (Curie-type)</v>
      </c>
    </row>
    <row r="395" customFormat="false" ht="14.25" hidden="false" customHeight="false" outlineLevel="0" collapsed="false">
      <c r="A395" s="0" t="s">
        <v>874</v>
      </c>
      <c r="B395" s="0" t="s">
        <v>875</v>
      </c>
      <c r="C395" s="0" t="s">
        <v>498</v>
      </c>
      <c r="D395" s="0" t="n">
        <v>-2.7947132312931</v>
      </c>
      <c r="E395" s="0" t="n">
        <v>0</v>
      </c>
      <c r="F395" s="0" t="n">
        <v>0</v>
      </c>
      <c r="G395" s="0" t="n">
        <v>12.0001854</v>
      </c>
      <c r="H395" s="0" t="s">
        <v>352</v>
      </c>
      <c r="I395" s="2" t="b">
        <f aca="false">TRUE()</f>
        <v>1</v>
      </c>
      <c r="J395" s="0" t="str">
        <f aca="false">IF(AND(CODE(MID(B395,2,1))&gt;=97,CODE(MID(B395,2,1))&lt;=122),LEFT(B395,2),LEFT(B395,1))</f>
        <v>Nd</v>
      </c>
      <c r="K395" s="0" t="n">
        <f aca="false">IF(J395="","",_xlfn.XLOOKUP(TRIM(J395),Metallic_Radius_Table!A:A,Metallic_Radius_Table!B:B))</f>
        <v>1.82</v>
      </c>
      <c r="L395" s="0" t="str">
        <f aca="false">IF(ISNUMBER(SEARCH("La",B395)),"La",
 IF(ISNUMBER(SEARCH("Nd",B395)),"Nd",
 IF(ISNUMBER(SEARCH("Eu",B395)),"Eu",
 IF(ISNUMBER(SEARCH("Gd",B395)),"Gd",""))))</f>
        <v>Nd</v>
      </c>
      <c r="M395" s="0" t="n">
        <f aca="false">IF(L395="","",_xlfn.XLOOKUP(TRIM(L395),Metallic_Radius_Table!A:A,Metallic_Radius_Table!B:B))</f>
        <v>1.82</v>
      </c>
      <c r="N395" s="0" t="str">
        <f aca="false">TRIM(LEFT(C395,FIND(",",C395)-1))</f>
        <v>Co</v>
      </c>
      <c r="O395" s="3" t="n">
        <f aca="false">IF(N395="","",_xlfn.XLOOKUP(TRIM(N395),Metallic_Radius_Table!A:A,Metallic_Radius_Table!B:B))</f>
        <v>1.25</v>
      </c>
      <c r="P395" s="0" t="str">
        <f aca="false">TRIM(MID(C395,FIND(",",C395)+1,5))</f>
        <v>Mn</v>
      </c>
      <c r="Q395" s="0" t="n">
        <f aca="false">IF(P395="","",_xlfn.XLOOKUP(TRIM(P395),Metallic_Radius_Table!A:A,Metallic_Radius_Table!B:B))</f>
        <v>1.27</v>
      </c>
      <c r="R395" s="0" t="str">
        <f aca="false">IF(G395&gt;=1,   "Ferromagnetic / Ferrimagnetic",   IF(G395&gt;=0.05,      "Paramagnetic / Weakly magnetic",      "Antiferromagnetic / Diamagnetic"))</f>
        <v>Ferromagnetic / Ferrimagnetic</v>
      </c>
      <c r="U395" s="0" t="str">
        <f aca="false">IF(G395&gt;=1,
   "FM → PM (Curie-type)",
   IF(G395&lt;0.05,
      "AFM → PM (Néel-type)",
      "No long-range magnetic transition"))</f>
        <v>FM → PM (Curie-type)</v>
      </c>
    </row>
    <row r="396" customFormat="false" ht="14.25" hidden="false" customHeight="false" outlineLevel="0" collapsed="false">
      <c r="A396" s="0" t="s">
        <v>876</v>
      </c>
      <c r="B396" s="0" t="s">
        <v>877</v>
      </c>
      <c r="C396" s="0" t="s">
        <v>283</v>
      </c>
      <c r="D396" s="0" t="n">
        <v>-3.0321819742931</v>
      </c>
      <c r="E396" s="0" t="n">
        <v>0.020478805750002</v>
      </c>
      <c r="F396" s="0" t="n">
        <v>0.7902</v>
      </c>
      <c r="G396" s="0" t="n">
        <v>14.0024192</v>
      </c>
      <c r="H396" s="0" t="s">
        <v>352</v>
      </c>
      <c r="I396" s="2" t="b">
        <f aca="false">TRUE()</f>
        <v>1</v>
      </c>
      <c r="J396" s="0" t="str">
        <f aca="false">IF(AND(CODE(MID(B396,2,1))&gt;=97,CODE(MID(B396,2,1))&lt;=122),LEFT(B396,2),LEFT(B396,1))</f>
        <v>Nd</v>
      </c>
      <c r="K396" s="0" t="n">
        <f aca="false">IF(J396="","",_xlfn.XLOOKUP(TRIM(J396),Metallic_Radius_Table!A:A,Metallic_Radius_Table!B:B))</f>
        <v>1.82</v>
      </c>
      <c r="L396" s="0" t="str">
        <f aca="false">IF(ISNUMBER(SEARCH("La",B396)),"La",
 IF(ISNUMBER(SEARCH("Nd",B396)),"Nd",
 IF(ISNUMBER(SEARCH("Eu",B396)),"Eu",
 IF(ISNUMBER(SEARCH("Gd",B396)),"Gd",""))))</f>
        <v>Nd</v>
      </c>
      <c r="M396" s="0" t="n">
        <f aca="false">IF(L396="","",_xlfn.XLOOKUP(TRIM(L396),Metallic_Radius_Table!A:A,Metallic_Radius_Table!B:B))</f>
        <v>1.82</v>
      </c>
      <c r="N396" s="0" t="str">
        <f aca="false">TRIM(LEFT(C396,FIND(",",C396)-1))</f>
        <v>Cr</v>
      </c>
      <c r="O396" s="3" t="n">
        <f aca="false">IF(N396="","",_xlfn.XLOOKUP(TRIM(N396),Metallic_Radius_Table!A:A,Metallic_Radius_Table!B:B))</f>
        <v>1.28</v>
      </c>
      <c r="P396" s="0" t="str">
        <f aca="false">TRIM(MID(C396,FIND(",",C396)+1,5))</f>
        <v>Mn</v>
      </c>
      <c r="Q396" s="0" t="n">
        <f aca="false">IF(P396="","",_xlfn.XLOOKUP(TRIM(P396),Metallic_Radius_Table!A:A,Metallic_Radius_Table!B:B))</f>
        <v>1.27</v>
      </c>
      <c r="R396" s="0" t="str">
        <f aca="false">IF(G396&gt;=1,   "Ferromagnetic / Ferrimagnetic",   IF(G396&gt;=0.05,      "Paramagnetic / Weakly magnetic",      "Antiferromagnetic / Diamagnetic"))</f>
        <v>Ferromagnetic / Ferrimagnetic</v>
      </c>
      <c r="U396" s="0" t="str">
        <f aca="false">IF(G396&gt;=1,
   "FM → PM (Curie-type)",
   IF(G396&lt;0.05,
      "AFM → PM (Néel-type)",
      "No long-range magnetic transition"))</f>
        <v>FM → PM (Curie-type)</v>
      </c>
    </row>
    <row r="397" customFormat="false" ht="14.25" hidden="false" customHeight="false" outlineLevel="0" collapsed="false">
      <c r="A397" s="0" t="s">
        <v>878</v>
      </c>
      <c r="B397" s="0" t="s">
        <v>879</v>
      </c>
      <c r="C397" s="0" t="s">
        <v>286</v>
      </c>
      <c r="D397" s="0" t="n">
        <v>-2.8588922647931</v>
      </c>
      <c r="E397" s="0" t="n">
        <v>0.011050126500014</v>
      </c>
      <c r="F397" s="0" t="n">
        <v>0.650299999999999</v>
      </c>
      <c r="G397" s="0" t="n">
        <v>18.0000001</v>
      </c>
      <c r="H397" s="0" t="s">
        <v>352</v>
      </c>
      <c r="I397" s="2" t="b">
        <f aca="false">TRUE()</f>
        <v>1</v>
      </c>
      <c r="J397" s="0" t="str">
        <f aca="false">IF(AND(CODE(MID(B397,2,1))&gt;=97,CODE(MID(B397,2,1))&lt;=122),LEFT(B397,2),LEFT(B397,1))</f>
        <v>Nd</v>
      </c>
      <c r="K397" s="0" t="n">
        <f aca="false">IF(J397="","",_xlfn.XLOOKUP(TRIM(J397),Metallic_Radius_Table!A:A,Metallic_Radius_Table!B:B))</f>
        <v>1.82</v>
      </c>
      <c r="L397" s="0" t="str">
        <f aca="false">IF(ISNUMBER(SEARCH("La",B397)),"La",
 IF(ISNUMBER(SEARCH("Nd",B397)),"Nd",
 IF(ISNUMBER(SEARCH("Eu",B397)),"Eu",
 IF(ISNUMBER(SEARCH("Gd",B397)),"Gd",""))))</f>
        <v>Nd</v>
      </c>
      <c r="M397" s="0" t="n">
        <f aca="false">IF(L397="","",_xlfn.XLOOKUP(TRIM(L397),Metallic_Radius_Table!A:A,Metallic_Radius_Table!B:B))</f>
        <v>1.82</v>
      </c>
      <c r="N397" s="0" t="str">
        <f aca="false">TRIM(LEFT(C397,FIND(",",C397)-1))</f>
        <v>Fe</v>
      </c>
      <c r="O397" s="3" t="n">
        <f aca="false">IF(N397="","",_xlfn.XLOOKUP(TRIM(N397),Metallic_Radius_Table!A:A,Metallic_Radius_Table!B:B))</f>
        <v>1.26</v>
      </c>
      <c r="P397" s="0" t="str">
        <f aca="false">TRIM(MID(C397,FIND(",",C397)+1,5))</f>
        <v>Mn</v>
      </c>
      <c r="Q397" s="0" t="n">
        <f aca="false">IF(P397="","",_xlfn.XLOOKUP(TRIM(P397),Metallic_Radius_Table!A:A,Metallic_Radius_Table!B:B))</f>
        <v>1.27</v>
      </c>
      <c r="R397" s="0" t="str">
        <f aca="false">IF(G397&gt;=1,   "Ferromagnetic / Ferrimagnetic",   IF(G397&gt;=0.05,      "Paramagnetic / Weakly magnetic",      "Antiferromagnetic / Diamagnetic"))</f>
        <v>Ferromagnetic / Ferrimagnetic</v>
      </c>
      <c r="U397" s="0" t="str">
        <f aca="false">IF(G397&gt;=1,
   "FM → PM (Curie-type)",
   IF(G397&lt;0.05,
      "AFM → PM (Néel-type)",
      "No long-range magnetic transition"))</f>
        <v>FM → PM (Curie-type)</v>
      </c>
    </row>
    <row r="398" customFormat="false" ht="14.25" hidden="false" customHeight="false" outlineLevel="0" collapsed="false">
      <c r="A398" s="0" t="s">
        <v>880</v>
      </c>
      <c r="B398" s="0" t="s">
        <v>881</v>
      </c>
      <c r="C398" s="0" t="s">
        <v>396</v>
      </c>
      <c r="D398" s="0" t="n">
        <v>-2.7804042532931</v>
      </c>
      <c r="E398" s="0" t="n">
        <v>0</v>
      </c>
      <c r="F398" s="0" t="n">
        <v>1.45719999999999</v>
      </c>
      <c r="G398" s="0" t="n">
        <v>10.0004377</v>
      </c>
      <c r="H398" s="0" t="s">
        <v>352</v>
      </c>
      <c r="I398" s="2" t="b">
        <f aca="false">TRUE()</f>
        <v>1</v>
      </c>
      <c r="J398" s="0" t="str">
        <f aca="false">IF(AND(CODE(MID(B398,2,1))&gt;=97,CODE(MID(B398,2,1))&lt;=122),LEFT(B398,2),LEFT(B398,1))</f>
        <v>Nd</v>
      </c>
      <c r="K398" s="0" t="n">
        <f aca="false">IF(J398="","",_xlfn.XLOOKUP(TRIM(J398),Metallic_Radius_Table!A:A,Metallic_Radius_Table!B:B))</f>
        <v>1.82</v>
      </c>
      <c r="L398" s="0" t="str">
        <f aca="false">IF(ISNUMBER(SEARCH("La",B398)),"La",
 IF(ISNUMBER(SEARCH("Nd",B398)),"Nd",
 IF(ISNUMBER(SEARCH("Eu",B398)),"Eu",
 IF(ISNUMBER(SEARCH("Gd",B398)),"Gd",""))))</f>
        <v>Nd</v>
      </c>
      <c r="M398" s="0" t="n">
        <f aca="false">IF(L398="","",_xlfn.XLOOKUP(TRIM(L398),Metallic_Radius_Table!A:A,Metallic_Radius_Table!B:B))</f>
        <v>1.82</v>
      </c>
      <c r="N398" s="0" t="str">
        <f aca="false">TRIM(LEFT(C398,FIND(",",C398)-1))</f>
        <v>Mn</v>
      </c>
      <c r="O398" s="3" t="n">
        <f aca="false">IF(N398="","",_xlfn.XLOOKUP(TRIM(N398),Metallic_Radius_Table!A:A,Metallic_Radius_Table!B:B))</f>
        <v>1.27</v>
      </c>
      <c r="P398" s="0" t="str">
        <f aca="false">TRIM(MID(C398,FIND(",",C398)+1,5))</f>
        <v>Ni</v>
      </c>
      <c r="Q398" s="0" t="n">
        <f aca="false">IF(P398="","",_xlfn.XLOOKUP(TRIM(P398),Metallic_Radius_Table!A:A,Metallic_Radius_Table!B:B))</f>
        <v>1.24</v>
      </c>
      <c r="R398" s="0" t="str">
        <f aca="false">IF(G398&gt;=1,   "Ferromagnetic / Ferrimagnetic",   IF(G398&gt;=0.05,      "Paramagnetic / Weakly magnetic",      "Antiferromagnetic / Diamagnetic"))</f>
        <v>Ferromagnetic / Ferrimagnetic</v>
      </c>
      <c r="U398" s="0" t="str">
        <f aca="false">IF(G398&gt;=1,
   "FM → PM (Curie-type)",
   IF(G398&lt;0.05,
      "AFM → PM (Néel-type)",
      "No long-range magnetic transition"))</f>
        <v>FM → PM (Curie-type)</v>
      </c>
    </row>
    <row r="399" customFormat="false" ht="14.25" hidden="false" customHeight="false" outlineLevel="0" collapsed="false">
      <c r="A399" s="0" t="s">
        <v>882</v>
      </c>
      <c r="B399" s="0" t="s">
        <v>883</v>
      </c>
      <c r="C399" s="0" t="s">
        <v>564</v>
      </c>
      <c r="D399" s="0" t="n">
        <v>-2.7123887092931</v>
      </c>
      <c r="E399" s="0" t="n">
        <v>0.016931908749997</v>
      </c>
      <c r="F399" s="0" t="n">
        <v>0.4194</v>
      </c>
      <c r="G399" s="0" t="n">
        <v>8.000931</v>
      </c>
      <c r="H399" s="0" t="s">
        <v>352</v>
      </c>
      <c r="I399" s="2" t="b">
        <f aca="false">TRUE()</f>
        <v>1</v>
      </c>
      <c r="J399" s="0" t="str">
        <f aca="false">IF(AND(CODE(MID(B399,2,1))&gt;=97,CODE(MID(B399,2,1))&lt;=122),LEFT(B399,2),LEFT(B399,1))</f>
        <v>Nd</v>
      </c>
      <c r="K399" s="0" t="n">
        <f aca="false">IF(J399="","",_xlfn.XLOOKUP(TRIM(J399),Metallic_Radius_Table!A:A,Metallic_Radius_Table!B:B))</f>
        <v>1.82</v>
      </c>
      <c r="L399" s="0" t="str">
        <f aca="false">IF(ISNUMBER(SEARCH("La",B399)),"La",
 IF(ISNUMBER(SEARCH("Nd",B399)),"Nd",
 IF(ISNUMBER(SEARCH("Eu",B399)),"Eu",
 IF(ISNUMBER(SEARCH("Gd",B399)),"Gd",""))))</f>
        <v>Nd</v>
      </c>
      <c r="M399" s="0" t="n">
        <f aca="false">IF(L399="","",_xlfn.XLOOKUP(TRIM(L399),Metallic_Radius_Table!A:A,Metallic_Radius_Table!B:B))</f>
        <v>1.82</v>
      </c>
      <c r="N399" s="0" t="str">
        <f aca="false">TRIM(LEFT(C399,FIND(",",C399)-1))</f>
        <v>Mn</v>
      </c>
      <c r="O399" s="3" t="n">
        <f aca="false">IF(N399="","",_xlfn.XLOOKUP(TRIM(N399),Metallic_Radius_Table!A:A,Metallic_Radius_Table!B:B))</f>
        <v>1.27</v>
      </c>
      <c r="P399" s="0" t="str">
        <f aca="false">TRIM(MID(C399,FIND(",",C399)+1,5))</f>
        <v>Rh</v>
      </c>
      <c r="Q399" s="0" t="n">
        <f aca="false">IF(P399="","",_xlfn.XLOOKUP(TRIM(P399),Metallic_Radius_Table!A:A,Metallic_Radius_Table!B:B))</f>
        <v>1.34</v>
      </c>
      <c r="R399" s="0" t="str">
        <f aca="false">IF(G399&gt;=1,   "Ferromagnetic / Ferrimagnetic",   IF(G399&gt;=0.05,      "Paramagnetic / Weakly magnetic",      "Antiferromagnetic / Diamagnetic"))</f>
        <v>Ferromagnetic / Ferrimagnetic</v>
      </c>
      <c r="U399" s="0" t="str">
        <f aca="false">IF(G399&gt;=1,
   "FM → PM (Curie-type)",
   IF(G399&lt;0.05,
      "AFM → PM (Néel-type)",
      "No long-range magnetic transition"))</f>
        <v>FM → PM (Curie-type)</v>
      </c>
    </row>
    <row r="400" customFormat="false" ht="14.25" hidden="false" customHeight="false" outlineLevel="0" collapsed="false">
      <c r="A400" s="0" t="s">
        <v>884</v>
      </c>
      <c r="B400" s="0" t="s">
        <v>885</v>
      </c>
      <c r="C400" s="0" t="s">
        <v>105</v>
      </c>
      <c r="D400" s="0" t="n">
        <v>-2.57957283449999</v>
      </c>
      <c r="E400" s="0" t="n">
        <v>0</v>
      </c>
      <c r="F400" s="0" t="n">
        <v>0</v>
      </c>
      <c r="G400" s="0" t="n">
        <v>7.993881</v>
      </c>
      <c r="H400" s="0" t="s">
        <v>352</v>
      </c>
      <c r="I400" s="2" t="b">
        <f aca="false">TRUE()</f>
        <v>1</v>
      </c>
      <c r="J400" s="0" t="str">
        <f aca="false">IF(AND(CODE(MID(B400,2,1))&gt;=97,CODE(MID(B400,2,1))&lt;=122),LEFT(B400,2),LEFT(B400,1))</f>
        <v>Nd</v>
      </c>
      <c r="K400" s="0" t="n">
        <f aca="false">IF(J400="","",_xlfn.XLOOKUP(TRIM(J400),Metallic_Radius_Table!A:A,Metallic_Radius_Table!B:B))</f>
        <v>1.82</v>
      </c>
      <c r="L400" s="0" t="str">
        <f aca="false">IF(ISNUMBER(SEARCH("La",B400)),"La",
 IF(ISNUMBER(SEARCH("Nd",B400)),"Nd",
 IF(ISNUMBER(SEARCH("Eu",B400)),"Eu",
 IF(ISNUMBER(SEARCH("Gd",B400)),"Gd",""))))</f>
        <v>Nd</v>
      </c>
      <c r="M400" s="0" t="n">
        <f aca="false">IF(L400="","",_xlfn.XLOOKUP(TRIM(L400),Metallic_Radius_Table!A:A,Metallic_Radius_Table!B:B))</f>
        <v>1.82</v>
      </c>
      <c r="N400" s="0" t="str">
        <f aca="false">TRIM(LEFT(C400,FIND(",",C400)-1))</f>
        <v>Ni</v>
      </c>
      <c r="O400" s="3" t="n">
        <f aca="false">IF(N400="","",_xlfn.XLOOKUP(TRIM(N400),Metallic_Radius_Table!A:A,Metallic_Radius_Table!B:B))</f>
        <v>1.24</v>
      </c>
      <c r="P400" s="0" t="str">
        <f aca="false">TRIM(MID(C400,FIND(",",C400)+1,5))</f>
        <v>Ru</v>
      </c>
      <c r="Q400" s="0" t="n">
        <f aca="false">IF(P400="","",_xlfn.XLOOKUP(TRIM(P400),Metallic_Radius_Table!A:A,Metallic_Radius_Table!B:B))</f>
        <v>1.34</v>
      </c>
      <c r="R400" s="0" t="str">
        <f aca="false">IF(G400&gt;=1,   "Ferromagnetic / Ferrimagnetic",   IF(G400&gt;=0.05,      "Paramagnetic / Weakly magnetic",      "Antiferromagnetic / Diamagnetic"))</f>
        <v>Ferromagnetic / Ferrimagnetic</v>
      </c>
      <c r="U400" s="0" t="str">
        <f aca="false">IF(G400&gt;=1,
   "FM → PM (Curie-type)",
   IF(G400&lt;0.05,
      "AFM → PM (Néel-type)",
      "No long-range magnetic transition"))</f>
        <v>FM → PM (Curie-type)</v>
      </c>
    </row>
    <row r="401" customFormat="false" ht="14.25" hidden="false" customHeight="false" outlineLevel="0" collapsed="false">
      <c r="A401" s="0" t="s">
        <v>886</v>
      </c>
      <c r="B401" s="0" t="s">
        <v>887</v>
      </c>
      <c r="C401" s="0" t="s">
        <v>241</v>
      </c>
      <c r="D401" s="0" t="n">
        <v>-3.0063176375</v>
      </c>
      <c r="E401" s="0" t="n">
        <v>0</v>
      </c>
      <c r="F401" s="0" t="n">
        <v>0.7975</v>
      </c>
      <c r="G401" s="0" t="n">
        <v>13.9999947</v>
      </c>
      <c r="H401" s="0" t="s">
        <v>352</v>
      </c>
      <c r="I401" s="2" t="b">
        <f aca="false">TRUE()</f>
        <v>1</v>
      </c>
      <c r="J401" s="0" t="str">
        <f aca="false">IF(AND(CODE(MID(B401,2,1))&gt;=97,CODE(MID(B401,2,1))&lt;=122),LEFT(B401,2),LEFT(B401,1))</f>
        <v>Nd</v>
      </c>
      <c r="K401" s="0" t="n">
        <f aca="false">IF(J401="","",_xlfn.XLOOKUP(TRIM(J401),Metallic_Radius_Table!A:A,Metallic_Radius_Table!B:B))</f>
        <v>1.82</v>
      </c>
      <c r="L401" s="0" t="str">
        <f aca="false">IF(ISNUMBER(SEARCH("La",B401)),"La",
 IF(ISNUMBER(SEARCH("Nd",B401)),"Nd",
 IF(ISNUMBER(SEARCH("Eu",B401)),"Eu",
 IF(ISNUMBER(SEARCH("Gd",B401)),"Gd",""))))</f>
        <v>Nd</v>
      </c>
      <c r="M401" s="0" t="n">
        <f aca="false">IF(L401="","",_xlfn.XLOOKUP(TRIM(L401),Metallic_Radius_Table!A:A,Metallic_Radius_Table!B:B))</f>
        <v>1.82</v>
      </c>
      <c r="N401" s="0" t="str">
        <f aca="false">TRIM(LEFT(C401,FIND(",",C401)-1))</f>
        <v>Fe</v>
      </c>
      <c r="O401" s="3" t="n">
        <f aca="false">IF(N401="","",_xlfn.XLOOKUP(TRIM(N401),Metallic_Radius_Table!A:A,Metallic_Radius_Table!B:B))</f>
        <v>1.26</v>
      </c>
      <c r="P401" s="0" t="str">
        <f aca="false">TRIM(MID(C401,FIND(",",C401)+1,5))</f>
        <v>V</v>
      </c>
      <c r="Q401" s="0" t="n">
        <f aca="false">IF(P401="","",_xlfn.XLOOKUP(TRIM(P401),Metallic_Radius_Table!A:A,Metallic_Radius_Table!B:B))</f>
        <v>1.34</v>
      </c>
      <c r="R401" s="0" t="str">
        <f aca="false">IF(G401&gt;=1,   "Ferromagnetic / Ferrimagnetic",   IF(G401&gt;=0.05,      "Paramagnetic / Weakly magnetic",      "Antiferromagnetic / Diamagnetic"))</f>
        <v>Ferromagnetic / Ferrimagnetic</v>
      </c>
      <c r="U401" s="0" t="str">
        <f aca="false">IF(G401&gt;=1,
   "FM → PM (Curie-type)",
   IF(G401&lt;0.05,
      "AFM → PM (Néel-type)",
      "No long-range magnetic transition"))</f>
        <v>FM → PM (Curie-type)</v>
      </c>
    </row>
    <row r="402" customFormat="false" ht="14.25" hidden="false" customHeight="false" outlineLevel="0" collapsed="false">
      <c r="A402" s="0" t="s">
        <v>888</v>
      </c>
      <c r="B402" s="0" t="s">
        <v>889</v>
      </c>
      <c r="C402" s="0" t="s">
        <v>591</v>
      </c>
      <c r="D402" s="0" t="n">
        <v>-3.31863520425</v>
      </c>
      <c r="E402" s="0" t="n">
        <v>0.12653587758333</v>
      </c>
      <c r="F402" s="0" t="n">
        <v>0.0215</v>
      </c>
      <c r="G402" s="0" t="n">
        <v>10.0000783</v>
      </c>
      <c r="H402" s="0" t="s">
        <v>111</v>
      </c>
      <c r="I402" s="2" t="b">
        <f aca="false">TRUE()</f>
        <v>1</v>
      </c>
      <c r="J402" s="0" t="str">
        <f aca="false">IF(AND(CODE(MID(B402,2,1))&gt;=97,CODE(MID(B402,2,1))&lt;=122),LEFT(B402,2),LEFT(B402,1))</f>
        <v>Nd</v>
      </c>
      <c r="K402" s="0" t="n">
        <f aca="false">IF(J402="","",_xlfn.XLOOKUP(TRIM(J402),Metallic_Radius_Table!A:A,Metallic_Radius_Table!B:B))</f>
        <v>1.82</v>
      </c>
      <c r="L402" s="0" t="str">
        <f aca="false">IF(ISNUMBER(SEARCH("La",B402)),"La",
 IF(ISNUMBER(SEARCH("Nd",B402)),"Nd",
 IF(ISNUMBER(SEARCH("Eu",B402)),"Eu",
 IF(ISNUMBER(SEARCH("Gd",B402)),"Gd",""))))</f>
        <v>Nd</v>
      </c>
      <c r="M402" s="0" t="n">
        <f aca="false">IF(L402="","",_xlfn.XLOOKUP(TRIM(L402),Metallic_Radius_Table!A:A,Metallic_Radius_Table!B:B))</f>
        <v>1.82</v>
      </c>
      <c r="N402" s="0" t="str">
        <f aca="false">TRIM(LEFT(C402,FIND(",",C402)-1))</f>
        <v>Cr</v>
      </c>
      <c r="O402" s="3" t="n">
        <f aca="false">IF(N402="","",_xlfn.XLOOKUP(TRIM(N402),Metallic_Radius_Table!A:A,Metallic_Radius_Table!B:B))</f>
        <v>1.28</v>
      </c>
      <c r="P402" s="0" t="str">
        <f aca="false">TRIM(MID(C402,FIND(",",C402)+1,5))</f>
        <v>Hf</v>
      </c>
      <c r="Q402" s="0" t="n">
        <f aca="false">IF(P402="","",_xlfn.XLOOKUP(TRIM(P402),Metallic_Radius_Table!A:A,Metallic_Radius_Table!B:B))</f>
        <v>1.59</v>
      </c>
      <c r="R402" s="0" t="str">
        <f aca="false">IF(G402&gt;=1,   "Ferromagnetic / Ferrimagnetic",   IF(G402&gt;=0.05,      "Paramagnetic / Weakly magnetic",      "Antiferromagnetic / Diamagnetic"))</f>
        <v>Ferromagnetic / Ferrimagnetic</v>
      </c>
      <c r="U402" s="0" t="str">
        <f aca="false">IF(G402&gt;=1,
   "FM → PM (Curie-type)",
   IF(G402&lt;0.05,
      "AFM → PM (Néel-type)",
      "No long-range magnetic transition"))</f>
        <v>FM → PM (Curie-type)</v>
      </c>
    </row>
    <row r="403" customFormat="false" ht="14.25" hidden="false" customHeight="false" outlineLevel="0" collapsed="false">
      <c r="A403" s="0" t="s">
        <v>890</v>
      </c>
      <c r="B403" s="0" t="s">
        <v>891</v>
      </c>
      <c r="C403" s="0" t="s">
        <v>148</v>
      </c>
      <c r="D403" s="0" t="n">
        <v>-3.54531271558333</v>
      </c>
      <c r="E403" s="0" t="n">
        <v>0.145041442583353</v>
      </c>
      <c r="F403" s="0" t="n">
        <v>0</v>
      </c>
      <c r="G403" s="0" t="n">
        <v>6.6793737</v>
      </c>
      <c r="H403" s="0" t="s">
        <v>111</v>
      </c>
      <c r="I403" s="2" t="b">
        <f aca="false">TRUE()</f>
        <v>1</v>
      </c>
      <c r="J403" s="0" t="str">
        <f aca="false">IF(AND(CODE(MID(B403,2,1))&gt;=97,CODE(MID(B403,2,1))&lt;=122),LEFT(B403,2),LEFT(B403,1))</f>
        <v>Nd</v>
      </c>
      <c r="K403" s="0" t="n">
        <f aca="false">IF(J403="","",_xlfn.XLOOKUP(TRIM(J403),Metallic_Radius_Table!A:A,Metallic_Radius_Table!B:B))</f>
        <v>1.82</v>
      </c>
      <c r="L403" s="0" t="str">
        <f aca="false">IF(ISNUMBER(SEARCH("La",B403)),"La",
 IF(ISNUMBER(SEARCH("Nd",B403)),"Nd",
 IF(ISNUMBER(SEARCH("Eu",B403)),"Eu",
 IF(ISNUMBER(SEARCH("Gd",B403)),"Gd",""))))</f>
        <v>Nd</v>
      </c>
      <c r="M403" s="0" t="n">
        <f aca="false">IF(L403="","",_xlfn.XLOOKUP(TRIM(L403),Metallic_Radius_Table!A:A,Metallic_Radius_Table!B:B))</f>
        <v>1.82</v>
      </c>
      <c r="N403" s="0" t="str">
        <f aca="false">TRIM(LEFT(C403,FIND(",",C403)-1))</f>
        <v>Hf</v>
      </c>
      <c r="O403" s="3" t="n">
        <f aca="false">IF(N403="","",_xlfn.XLOOKUP(TRIM(N403),Metallic_Radius_Table!A:A,Metallic_Radius_Table!B:B))</f>
        <v>1.59</v>
      </c>
      <c r="P403" s="0" t="str">
        <f aca="false">TRIM(MID(C403,FIND(",",C403)+1,5))</f>
        <v>Ti</v>
      </c>
      <c r="Q403" s="0" t="n">
        <f aca="false">IF(P403="","",_xlfn.XLOOKUP(TRIM(P403),Metallic_Radius_Table!A:A,Metallic_Radius_Table!B:B))</f>
        <v>1.47</v>
      </c>
      <c r="R403" s="0" t="str">
        <f aca="false">IF(G403&gt;=1,   "Ferromagnetic / Ferrimagnetic",   IF(G403&gt;=0.05,      "Paramagnetic / Weakly magnetic",      "Antiferromagnetic / Diamagnetic"))</f>
        <v>Ferromagnetic / Ferrimagnetic</v>
      </c>
      <c r="U403" s="0" t="str">
        <f aca="false">IF(G403&gt;=1,
   "FM → PM (Curie-type)",
   IF(G403&lt;0.05,
      "AFM → PM (Néel-type)",
      "No long-range magnetic transition"))</f>
        <v>FM → PM (Curie-type)</v>
      </c>
    </row>
    <row r="404" customFormat="false" ht="14.25" hidden="false" customHeight="false" outlineLevel="0" collapsed="false">
      <c r="A404" s="0" t="s">
        <v>892</v>
      </c>
      <c r="B404" s="0" t="s">
        <v>893</v>
      </c>
      <c r="C404" s="0" t="s">
        <v>286</v>
      </c>
      <c r="D404" s="0" t="n">
        <v>-2.5872780500431</v>
      </c>
      <c r="E404" s="0" t="n">
        <v>0.182527333499997</v>
      </c>
      <c r="F404" s="0" t="n">
        <v>0</v>
      </c>
      <c r="G404" s="0" t="n">
        <v>14.9997362</v>
      </c>
      <c r="H404" s="0" t="s">
        <v>111</v>
      </c>
      <c r="I404" s="2" t="b">
        <f aca="false">TRUE()</f>
        <v>1</v>
      </c>
      <c r="J404" s="0" t="str">
        <f aca="false">IF(AND(CODE(MID(B404,2,1))&gt;=97,CODE(MID(B404,2,1))&lt;=122),LEFT(B404,2),LEFT(B404,1))</f>
        <v>Nd</v>
      </c>
      <c r="K404" s="0" t="n">
        <f aca="false">IF(J404="","",_xlfn.XLOOKUP(TRIM(J404),Metallic_Radius_Table!A:A,Metallic_Radius_Table!B:B))</f>
        <v>1.82</v>
      </c>
      <c r="L404" s="0" t="str">
        <f aca="false">IF(ISNUMBER(SEARCH("La",B404)),"La",
 IF(ISNUMBER(SEARCH("Nd",B404)),"Nd",
 IF(ISNUMBER(SEARCH("Eu",B404)),"Eu",
 IF(ISNUMBER(SEARCH("Gd",B404)),"Gd",""))))</f>
        <v>Nd</v>
      </c>
      <c r="M404" s="0" t="n">
        <f aca="false">IF(L404="","",_xlfn.XLOOKUP(TRIM(L404),Metallic_Radius_Table!A:A,Metallic_Radius_Table!B:B))</f>
        <v>1.82</v>
      </c>
      <c r="N404" s="0" t="str">
        <f aca="false">TRIM(LEFT(C404,FIND(",",C404)-1))</f>
        <v>Fe</v>
      </c>
      <c r="O404" s="3" t="n">
        <f aca="false">IF(N404="","",_xlfn.XLOOKUP(TRIM(N404),Metallic_Radius_Table!A:A,Metallic_Radius_Table!B:B))</f>
        <v>1.26</v>
      </c>
      <c r="P404" s="0" t="str">
        <f aca="false">TRIM(MID(C404,FIND(",",C404)+1,5))</f>
        <v>Mn</v>
      </c>
      <c r="Q404" s="0" t="n">
        <f aca="false">IF(P404="","",_xlfn.XLOOKUP(TRIM(P404),Metallic_Radius_Table!A:A,Metallic_Radius_Table!B:B))</f>
        <v>1.27</v>
      </c>
      <c r="R404" s="0" t="str">
        <f aca="false">IF(G404&gt;=1,   "Ferromagnetic / Ferrimagnetic",   IF(G404&gt;=0.05,      "Paramagnetic / Weakly magnetic",      "Antiferromagnetic / Diamagnetic"))</f>
        <v>Ferromagnetic / Ferrimagnetic</v>
      </c>
      <c r="U404" s="0" t="str">
        <f aca="false">IF(G404&gt;=1,
   "FM → PM (Curie-type)",
   IF(G404&lt;0.05,
      "AFM → PM (Néel-type)",
      "No long-range magnetic transition"))</f>
        <v>FM → PM (Curie-type)</v>
      </c>
    </row>
    <row r="405" customFormat="false" ht="14.25" hidden="false" customHeight="false" outlineLevel="0" collapsed="false">
      <c r="A405" s="0" t="s">
        <v>894</v>
      </c>
      <c r="B405" s="0" t="s">
        <v>895</v>
      </c>
      <c r="C405" s="0" t="s">
        <v>216</v>
      </c>
      <c r="D405" s="0" t="n">
        <v>-3.46274270758333</v>
      </c>
      <c r="E405" s="0" t="n">
        <v>0.161819238999994</v>
      </c>
      <c r="F405" s="0" t="n">
        <v>0</v>
      </c>
      <c r="G405" s="0" t="n">
        <v>6.844615</v>
      </c>
      <c r="H405" s="0" t="s">
        <v>111</v>
      </c>
      <c r="I405" s="2" t="b">
        <f aca="false">TRUE()</f>
        <v>1</v>
      </c>
      <c r="J405" s="0" t="str">
        <f aca="false">IF(AND(CODE(MID(B405,2,1))&gt;=97,CODE(MID(B405,2,1))&lt;=122),LEFT(B405,2),LEFT(B405,1))</f>
        <v>Nd</v>
      </c>
      <c r="K405" s="0" t="n">
        <f aca="false">IF(J405="","",_xlfn.XLOOKUP(TRIM(J405),Metallic_Radius_Table!A:A,Metallic_Radius_Table!B:B))</f>
        <v>1.82</v>
      </c>
      <c r="L405" s="0" t="str">
        <f aca="false">IF(ISNUMBER(SEARCH("La",B405)),"La",
 IF(ISNUMBER(SEARCH("Nd",B405)),"Nd",
 IF(ISNUMBER(SEARCH("Eu",B405)),"Eu",
 IF(ISNUMBER(SEARCH("Gd",B405)),"Gd",""))))</f>
        <v>Nd</v>
      </c>
      <c r="M405" s="0" t="n">
        <f aca="false">IF(L405="","",_xlfn.XLOOKUP(TRIM(L405),Metallic_Radius_Table!A:A,Metallic_Radius_Table!B:B))</f>
        <v>1.82</v>
      </c>
      <c r="N405" s="0" t="str">
        <f aca="false">TRIM(LEFT(C405,FIND(",",C405)-1))</f>
        <v>Zr</v>
      </c>
      <c r="O405" s="3" t="n">
        <f aca="false">IF(N405="","",_xlfn.XLOOKUP(TRIM(N405),Metallic_Radius_Table!A:A,Metallic_Radius_Table!B:B))</f>
        <v>1.6</v>
      </c>
      <c r="P405" s="0" t="str">
        <f aca="false">TRIM(MID(C405,FIND(",",C405)+1,5))</f>
        <v>Ti</v>
      </c>
      <c r="Q405" s="0" t="n">
        <f aca="false">IF(P405="","",_xlfn.XLOOKUP(TRIM(P405),Metallic_Radius_Table!A:A,Metallic_Radius_Table!B:B))</f>
        <v>1.47</v>
      </c>
      <c r="R405" s="0" t="str">
        <f aca="false">IF(G405&gt;=1,   "Ferromagnetic / Ferrimagnetic",   IF(G405&gt;=0.05,      "Paramagnetic / Weakly magnetic",      "Antiferromagnetic / Diamagnetic"))</f>
        <v>Ferromagnetic / Ferrimagnetic</v>
      </c>
      <c r="U405" s="0" t="str">
        <f aca="false">IF(G405&gt;=1,
   "FM → PM (Curie-type)",
   IF(G405&lt;0.05,
      "AFM → PM (Néel-type)",
      "No long-range magnetic transition"))</f>
        <v>FM → PM (Curie-type)</v>
      </c>
    </row>
    <row r="406" customFormat="false" ht="14.25" hidden="false" customHeight="false" outlineLevel="0" collapsed="false">
      <c r="A406" s="0" t="s">
        <v>896</v>
      </c>
      <c r="B406" s="0" t="s">
        <v>897</v>
      </c>
      <c r="C406" s="0" t="s">
        <v>286</v>
      </c>
      <c r="D406" s="0" t="n">
        <v>-2.1239881790431</v>
      </c>
      <c r="E406" s="0" t="n">
        <v>0.194955868999996</v>
      </c>
      <c r="F406" s="0" t="n">
        <v>0.057</v>
      </c>
      <c r="G406" s="0" t="n">
        <v>18.0011491</v>
      </c>
      <c r="H406" s="0" t="s">
        <v>634</v>
      </c>
      <c r="I406" s="2" t="b">
        <f aca="false">TRUE()</f>
        <v>1</v>
      </c>
      <c r="J406" s="0" t="str">
        <f aca="false">IF(AND(CODE(MID(B406,2,1))&gt;=97,CODE(MID(B406,2,1))&lt;=122),LEFT(B406,2),LEFT(B406,1))</f>
        <v>Nd</v>
      </c>
      <c r="K406" s="0" t="n">
        <f aca="false">IF(J406="","",_xlfn.XLOOKUP(TRIM(J406),Metallic_Radius_Table!A:A,Metallic_Radius_Table!B:B))</f>
        <v>1.82</v>
      </c>
      <c r="L406" s="0" t="str">
        <f aca="false">IF(ISNUMBER(SEARCH("La",B406)),"La",
 IF(ISNUMBER(SEARCH("Nd",B406)),"Nd",
 IF(ISNUMBER(SEARCH("Eu",B406)),"Eu",
 IF(ISNUMBER(SEARCH("Gd",B406)),"Gd",""))))</f>
        <v>Nd</v>
      </c>
      <c r="M406" s="0" t="n">
        <f aca="false">IF(L406="","",_xlfn.XLOOKUP(TRIM(L406),Metallic_Radius_Table!A:A,Metallic_Radius_Table!B:B))</f>
        <v>1.82</v>
      </c>
      <c r="N406" s="0" t="str">
        <f aca="false">TRIM(LEFT(C406,FIND(",",C406)-1))</f>
        <v>Fe</v>
      </c>
      <c r="O406" s="3" t="n">
        <f aca="false">IF(N406="","",_xlfn.XLOOKUP(TRIM(N406),Metallic_Radius_Table!A:A,Metallic_Radius_Table!B:B))</f>
        <v>1.26</v>
      </c>
      <c r="P406" s="0" t="str">
        <f aca="false">TRIM(MID(C406,FIND(",",C406)+1,5))</f>
        <v>Mn</v>
      </c>
      <c r="Q406" s="0" t="n">
        <f aca="false">IF(P406="","",_xlfn.XLOOKUP(TRIM(P406),Metallic_Radius_Table!A:A,Metallic_Radius_Table!B:B))</f>
        <v>1.27</v>
      </c>
      <c r="R406" s="0" t="str">
        <f aca="false">IF(G406&gt;=1,   "Ferromagnetic / Ferrimagnetic",   IF(G406&gt;=0.05,      "Paramagnetic / Weakly magnetic",      "Antiferromagnetic / Diamagnetic"))</f>
        <v>Ferromagnetic / Ferrimagnetic</v>
      </c>
      <c r="U406" s="0" t="str">
        <f aca="false">IF(G406&gt;=1,
   "FM → PM (Curie-type)",
   IF(G406&lt;0.05,
      "AFM → PM (Néel-type)",
      "No long-range magnetic transition"))</f>
        <v>FM → PM (Curie-type)</v>
      </c>
    </row>
    <row r="407" customFormat="false" ht="14.25" hidden="false" customHeight="false" outlineLevel="0" collapsed="false">
      <c r="A407" s="0" t="s">
        <v>898</v>
      </c>
      <c r="B407" s="0" t="s">
        <v>897</v>
      </c>
      <c r="C407" s="0" t="s">
        <v>286</v>
      </c>
      <c r="D407" s="0" t="n">
        <v>-2.2582360740431</v>
      </c>
      <c r="E407" s="0" t="n">
        <v>0.060707973999997</v>
      </c>
      <c r="F407" s="0" t="n">
        <v>0.8844</v>
      </c>
      <c r="G407" s="0" t="n">
        <v>14.0039473</v>
      </c>
      <c r="H407" s="0" t="s">
        <v>634</v>
      </c>
      <c r="I407" s="2" t="b">
        <f aca="false">TRUE()</f>
        <v>1</v>
      </c>
      <c r="J407" s="0" t="str">
        <f aca="false">IF(AND(CODE(MID(B407,2,1))&gt;=97,CODE(MID(B407,2,1))&lt;=122),LEFT(B407,2),LEFT(B407,1))</f>
        <v>Nd</v>
      </c>
      <c r="K407" s="0" t="n">
        <f aca="false">IF(J407="","",_xlfn.XLOOKUP(TRIM(J407),Metallic_Radius_Table!A:A,Metallic_Radius_Table!B:B))</f>
        <v>1.82</v>
      </c>
      <c r="L407" s="0" t="str">
        <f aca="false">IF(ISNUMBER(SEARCH("La",B407)),"La",
 IF(ISNUMBER(SEARCH("Nd",B407)),"Nd",
 IF(ISNUMBER(SEARCH("Eu",B407)),"Eu",
 IF(ISNUMBER(SEARCH("Gd",B407)),"Gd",""))))</f>
        <v>Nd</v>
      </c>
      <c r="M407" s="0" t="n">
        <f aca="false">IF(L407="","",_xlfn.XLOOKUP(TRIM(L407),Metallic_Radius_Table!A:A,Metallic_Radius_Table!B:B))</f>
        <v>1.82</v>
      </c>
      <c r="N407" s="0" t="str">
        <f aca="false">TRIM(LEFT(C407,FIND(",",C407)-1))</f>
        <v>Fe</v>
      </c>
      <c r="O407" s="3" t="n">
        <f aca="false">IF(N407="","",_xlfn.XLOOKUP(TRIM(N407),Metallic_Radius_Table!A:A,Metallic_Radius_Table!B:B))</f>
        <v>1.26</v>
      </c>
      <c r="P407" s="0" t="str">
        <f aca="false">TRIM(MID(C407,FIND(",",C407)+1,5))</f>
        <v>Mn</v>
      </c>
      <c r="Q407" s="0" t="n">
        <f aca="false">IF(P407="","",_xlfn.XLOOKUP(TRIM(P407),Metallic_Radius_Table!A:A,Metallic_Radius_Table!B:B))</f>
        <v>1.27</v>
      </c>
      <c r="R407" s="0" t="str">
        <f aca="false">IF(G407&gt;=1,   "Ferromagnetic / Ferrimagnetic",   IF(G407&gt;=0.05,      "Paramagnetic / Weakly magnetic",      "Antiferromagnetic / Diamagnetic"))</f>
        <v>Ferromagnetic / Ferrimagnetic</v>
      </c>
      <c r="U407" s="0" t="str">
        <f aca="false">IF(G407&gt;=1,
   "FM → PM (Curie-type)",
   IF(G407&lt;0.05,
      "AFM → PM (Néel-type)",
      "No long-range magnetic transition"))</f>
        <v>FM → PM (Curie-type)</v>
      </c>
    </row>
    <row r="408" customFormat="false" ht="14.25" hidden="false" customHeight="false" outlineLevel="0" collapsed="false">
      <c r="A408" s="0" t="s">
        <v>899</v>
      </c>
      <c r="B408" s="0" t="s">
        <v>900</v>
      </c>
      <c r="C408" s="0" t="s">
        <v>441</v>
      </c>
      <c r="D408" s="0" t="n">
        <v>-3.62643061562963</v>
      </c>
      <c r="E408" s="0" t="n">
        <v>0</v>
      </c>
      <c r="F408" s="0" t="n">
        <v>3.0457</v>
      </c>
      <c r="G408" s="0" t="n">
        <v>0.001756199999999</v>
      </c>
      <c r="H408" s="0" t="s">
        <v>798</v>
      </c>
      <c r="I408" s="2" t="b">
        <f aca="false">TRUE()</f>
        <v>1</v>
      </c>
      <c r="J408" s="0" t="str">
        <f aca="false">IF(AND(CODE(MID(B408,2,1))&gt;=97,CODE(MID(B408,2,1))&lt;=122),LEFT(B408,2),LEFT(B408,1))</f>
        <v>Nd</v>
      </c>
      <c r="K408" s="0" t="n">
        <f aca="false">IF(J408="","",_xlfn.XLOOKUP(TRIM(J408),Metallic_Radius_Table!A:A,Metallic_Radius_Table!B:B))</f>
        <v>1.82</v>
      </c>
      <c r="L408" s="0" t="str">
        <f aca="false">IF(ISNUMBER(SEARCH("La",B408)),"La",
 IF(ISNUMBER(SEARCH("Nd",B408)),"Nd",
 IF(ISNUMBER(SEARCH("Eu",B408)),"Eu",
 IF(ISNUMBER(SEARCH("Gd",B408)),"Gd",""))))</f>
        <v>Nd</v>
      </c>
      <c r="M408" s="0" t="n">
        <f aca="false">IF(L408="","",_xlfn.XLOOKUP(TRIM(L408),Metallic_Radius_Table!A:A,Metallic_Radius_Table!B:B))</f>
        <v>1.82</v>
      </c>
      <c r="N408" s="0" t="str">
        <f aca="false">TRIM(LEFT(C408,FIND(",",C408)-1))</f>
        <v>Ta</v>
      </c>
      <c r="O408" s="3" t="n">
        <f aca="false">IF(N408="","",_xlfn.XLOOKUP(TRIM(N408),Metallic_Radius_Table!A:A,Metallic_Radius_Table!B:B))</f>
        <v>1.46</v>
      </c>
      <c r="P408" s="0" t="str">
        <f aca="false">TRIM(MID(C408,FIND(",",C408)+1,5))</f>
        <v>Ti</v>
      </c>
      <c r="Q408" s="0" t="n">
        <f aca="false">IF(P408="","",_xlfn.XLOOKUP(TRIM(P408),Metallic_Radius_Table!A:A,Metallic_Radius_Table!B:B))</f>
        <v>1.47</v>
      </c>
      <c r="R408" s="0" t="str">
        <f aca="false">IF(G408&gt;=1,   "Ferromagnetic / Ferrimagnetic",   IF(G408&gt;=0.05,      "Paramagnetic / Weakly magnetic",      "Antiferromagnetic / Diamagnetic"))</f>
        <v>Antiferromagnetic / Diamagnetic</v>
      </c>
      <c r="U408" s="0" t="str">
        <f aca="false">IF(G408&gt;=1,
   "FM → PM (Curie-type)",
   IF(G408&lt;0.05,
      "AFM → PM (Néel-type)",
      "No long-range magnetic transition"))</f>
        <v>AFM → PM (Néel-type)</v>
      </c>
    </row>
    <row r="409" customFormat="false" ht="14.25" hidden="false" customHeight="false" outlineLevel="0" collapsed="false">
      <c r="A409" s="0" t="s">
        <v>901</v>
      </c>
      <c r="B409" s="0" t="s">
        <v>902</v>
      </c>
      <c r="C409" s="0" t="s">
        <v>79</v>
      </c>
      <c r="D409" s="0" t="n">
        <v>-2.6569097015431</v>
      </c>
      <c r="E409" s="0" t="n">
        <v>0.023629530776307</v>
      </c>
      <c r="F409" s="0" t="n">
        <v>1.6904</v>
      </c>
      <c r="G409" s="0" t="n">
        <v>0</v>
      </c>
      <c r="H409" s="0" t="s">
        <v>634</v>
      </c>
      <c r="I409" s="2" t="b">
        <f aca="false">TRUE()</f>
        <v>1</v>
      </c>
      <c r="J409" s="0" t="str">
        <f aca="false">IF(AND(CODE(MID(B409,2,1))&gt;=97,CODE(MID(B409,2,1))&lt;=122),LEFT(B409,2),LEFT(B409,1))</f>
        <v>Rb</v>
      </c>
      <c r="K409" s="0" t="n">
        <f aca="false">IF(J409="","",_xlfn.XLOOKUP(TRIM(J409),Metallic_Radius_Table!A:A,Metallic_Radius_Table!B:B))</f>
        <v>2.48</v>
      </c>
      <c r="L409" s="0" t="str">
        <f aca="false">IF(ISNUMBER(SEARCH("La",B409)),"La",
 IF(ISNUMBER(SEARCH("Nd",B409)),"Nd",
 IF(ISNUMBER(SEARCH("Eu",B409)),"Eu",
 IF(ISNUMBER(SEARCH("Gd",B409)),"Gd",""))))</f>
        <v>La</v>
      </c>
      <c r="M409" s="0" t="n">
        <f aca="false">IF(L409="","",_xlfn.XLOOKUP(TRIM(L409),Metallic_Radius_Table!A:A,Metallic_Radius_Table!B:B))</f>
        <v>1.87</v>
      </c>
      <c r="N409" s="0" t="str">
        <f aca="false">TRIM(LEFT(C409,FIND(",",C409)-1))</f>
        <v>Mn</v>
      </c>
      <c r="O409" s="3" t="n">
        <f aca="false">IF(N409="","",_xlfn.XLOOKUP(TRIM(N409),Metallic_Radius_Table!A:A,Metallic_Radius_Table!B:B))</f>
        <v>1.27</v>
      </c>
      <c r="P409" s="0" t="str">
        <f aca="false">TRIM(MID(C409,FIND(",",C409)+1,5))</f>
        <v>W</v>
      </c>
      <c r="Q409" s="0" t="n">
        <f aca="false">IF(P409="","",_xlfn.XLOOKUP(TRIM(P409),Metallic_Radius_Table!A:A,Metallic_Radius_Table!B:B))</f>
        <v>1.41</v>
      </c>
      <c r="R409" s="0" t="str">
        <f aca="false">IF(G409&gt;=1,   "Ferromagnetic / Ferrimagnetic",   IF(G409&gt;=0.05,      "Paramagnetic / Weakly magnetic",      "Antiferromagnetic / Diamagnetic"))</f>
        <v>Antiferromagnetic / Diamagnetic</v>
      </c>
      <c r="U409" s="0" t="str">
        <f aca="false">IF(G409&gt;=1,
   "FM → PM (Curie-type)",
   IF(G409&lt;0.05,
      "AFM → PM (Néel-type)",
      "No long-range magnetic transition"))</f>
        <v>AFM → PM (Néel-type)</v>
      </c>
    </row>
    <row r="410" customFormat="false" ht="14.25" hidden="false" customHeight="false" outlineLevel="0" collapsed="false">
      <c r="A410" s="0" t="s">
        <v>903</v>
      </c>
      <c r="B410" s="0" t="s">
        <v>904</v>
      </c>
      <c r="C410" s="0" t="s">
        <v>79</v>
      </c>
      <c r="D410" s="0" t="n">
        <v>-2.6242573972931</v>
      </c>
      <c r="E410" s="0" t="n">
        <v>0.026298901999998</v>
      </c>
      <c r="F410" s="0" t="n">
        <v>2.6501</v>
      </c>
      <c r="G410" s="0" t="n">
        <v>10.0007858</v>
      </c>
      <c r="H410" s="0" t="s">
        <v>634</v>
      </c>
      <c r="I410" s="2" t="b">
        <f aca="false">TRUE()</f>
        <v>1</v>
      </c>
      <c r="J410" s="0" t="str">
        <f aca="false">IF(AND(CODE(MID(B410,2,1))&gt;=97,CODE(MID(B410,2,1))&lt;=122),LEFT(B410,2),LEFT(B410,1))</f>
        <v>Rb</v>
      </c>
      <c r="K410" s="0" t="n">
        <f aca="false">IF(J410="","",_xlfn.XLOOKUP(TRIM(J410),Metallic_Radius_Table!A:A,Metallic_Radius_Table!B:B))</f>
        <v>2.48</v>
      </c>
      <c r="L410" s="0" t="str">
        <f aca="false">IF(ISNUMBER(SEARCH("La",B410)),"La",
 IF(ISNUMBER(SEARCH("Nd",B410)),"Nd",
 IF(ISNUMBER(SEARCH("Eu",B410)),"Eu",
 IF(ISNUMBER(SEARCH("Gd",B410)),"Gd",""))))</f>
        <v>Nd</v>
      </c>
      <c r="M410" s="0" t="n">
        <f aca="false">IF(L410="","",_xlfn.XLOOKUP(TRIM(L410),Metallic_Radius_Table!A:A,Metallic_Radius_Table!B:B))</f>
        <v>1.82</v>
      </c>
      <c r="N410" s="0" t="str">
        <f aca="false">TRIM(LEFT(C410,FIND(",",C410)-1))</f>
        <v>Mn</v>
      </c>
      <c r="O410" s="3" t="n">
        <f aca="false">IF(N410="","",_xlfn.XLOOKUP(TRIM(N410),Metallic_Radius_Table!A:A,Metallic_Radius_Table!B:B))</f>
        <v>1.27</v>
      </c>
      <c r="P410" s="0" t="str">
        <f aca="false">TRIM(MID(C410,FIND(",",C410)+1,5))</f>
        <v>W</v>
      </c>
      <c r="Q410" s="0" t="n">
        <f aca="false">IF(P410="","",_xlfn.XLOOKUP(TRIM(P410),Metallic_Radius_Table!A:A,Metallic_Radius_Table!B:B))</f>
        <v>1.41</v>
      </c>
      <c r="R410" s="0" t="str">
        <f aca="false">IF(G410&gt;=1,   "Ferromagnetic / Ferrimagnetic",   IF(G410&gt;=0.05,      "Paramagnetic / Weakly magnetic",      "Antiferromagnetic / Diamagnetic"))</f>
        <v>Ferromagnetic / Ferrimagnetic</v>
      </c>
      <c r="U410" s="0" t="str">
        <f aca="false">IF(G410&gt;=1,
   "FM → PM (Curie-type)",
   IF(G410&lt;0.05,
      "AFM → PM (Néel-type)",
      "No long-range magnetic transition"))</f>
        <v>FM → PM (Curie-type)</v>
      </c>
    </row>
    <row r="411" customFormat="false" ht="14.25" hidden="false" customHeight="false" outlineLevel="0" collapsed="false">
      <c r="A411" s="0" t="s">
        <v>905</v>
      </c>
      <c r="B411" s="0" t="s">
        <v>906</v>
      </c>
      <c r="C411" s="0" t="s">
        <v>185</v>
      </c>
      <c r="D411" s="0" t="n">
        <v>-2.84598423814814</v>
      </c>
      <c r="E411" s="0" t="n">
        <v>0.004120943888883</v>
      </c>
      <c r="F411" s="0" t="n">
        <v>2.3865</v>
      </c>
      <c r="G411" s="4" t="n">
        <v>2.2E-006</v>
      </c>
      <c r="H411" s="0" t="s">
        <v>58</v>
      </c>
      <c r="I411" s="2" t="b">
        <f aca="false">TRUE()</f>
        <v>1</v>
      </c>
      <c r="J411" s="0" t="str">
        <f aca="false">IF(AND(CODE(MID(B411,2,1))&gt;=97,CODE(MID(B411,2,1))&lt;=122),LEFT(B411,2),LEFT(B411,1))</f>
        <v>Ti</v>
      </c>
      <c r="K411" s="0" t="n">
        <f aca="false">IF(J411="","",_xlfn.XLOOKUP(TRIM(J411),Metallic_Radius_Table!A:A,Metallic_Radius_Table!B:B))</f>
        <v>1.47</v>
      </c>
      <c r="L411" s="0" t="str">
        <f aca="false">IF(ISNUMBER(SEARCH("La",B411)),"La",
 IF(ISNUMBER(SEARCH("Nd",B411)),"Nd",
 IF(ISNUMBER(SEARCH("Eu",B411)),"Eu",
 IF(ISNUMBER(SEARCH("Gd",B411)),"Gd",""))))</f>
        <v/>
      </c>
      <c r="M411" s="0" t="str">
        <f aca="false">IF(L411="","",_xlfn.XLOOKUP(TRIM(L411),Metallic_Radius_Table!A:A,Metallic_Radius_Table!B:B))</f>
        <v/>
      </c>
      <c r="N411" s="0" t="str">
        <f aca="false">TRIM(LEFT(C411,FIND(",",C411)-1))</f>
        <v>Nb</v>
      </c>
      <c r="O411" s="3" t="n">
        <f aca="false">IF(N411="","",_xlfn.XLOOKUP(TRIM(N411),Metallic_Radius_Table!A:A,Metallic_Radius_Table!B:B))</f>
        <v>1.46</v>
      </c>
      <c r="P411" s="0" t="str">
        <f aca="false">TRIM(MID(C411,FIND(",",C411)+1,5))</f>
        <v>Ti</v>
      </c>
      <c r="Q411" s="0" t="n">
        <f aca="false">IF(P411="","",_xlfn.XLOOKUP(TRIM(P411),Metallic_Radius_Table!A:A,Metallic_Radius_Table!B:B))</f>
        <v>1.47</v>
      </c>
      <c r="R411" s="0" t="str">
        <f aca="false">IF(G411&gt;=1,   "Ferromagnetic / Ferrimagnetic",   IF(G411&gt;=0.05,      "Paramagnetic / Weakly magnetic",      "Antiferromagnetic / Diamagnetic"))</f>
        <v>Antiferromagnetic / Diamagnetic</v>
      </c>
      <c r="U411" s="0" t="str">
        <f aca="false">IF(G411&gt;=1,
   "FM → PM (Curie-type)",
   IF(G411&lt;0.05,
      "AFM → PM (Néel-type)",
      "No long-range magnetic transition"))</f>
        <v>AFM → PM (Néel-type)</v>
      </c>
    </row>
    <row r="412" customFormat="false" ht="14.25" hidden="false" customHeight="false" outlineLevel="0" collapsed="false">
      <c r="A412" s="0" t="s">
        <v>907</v>
      </c>
      <c r="B412" s="0" t="s">
        <v>908</v>
      </c>
      <c r="C412" s="0" t="s">
        <v>909</v>
      </c>
      <c r="D412" s="0" t="n">
        <v>-2.8346194587931</v>
      </c>
      <c r="E412" s="0" t="n">
        <v>0</v>
      </c>
      <c r="F412" s="0" t="n">
        <v>0</v>
      </c>
      <c r="G412" s="0" t="n">
        <v>11.9955027</v>
      </c>
      <c r="H412" s="0" t="s">
        <v>352</v>
      </c>
      <c r="I412" s="2" t="b">
        <f aca="false">TRUE()</f>
        <v>1</v>
      </c>
      <c r="J412" s="0" t="str">
        <f aca="false">IF(AND(CODE(MID(B412,2,1))&gt;=97,CODE(MID(B412,2,1))&lt;=122),LEFT(B412,2),LEFT(B412,1))</f>
        <v>Y</v>
      </c>
      <c r="K412" s="0" t="n">
        <f aca="false">IF(J412="","",_xlfn.XLOOKUP(TRIM(J412),Metallic_Radius_Table!A:A,Metallic_Radius_Table!B:B))</f>
        <v>1.8</v>
      </c>
      <c r="L412" s="0" t="str">
        <f aca="false">IF(ISNUMBER(SEARCH("La",B412)),"La",
 IF(ISNUMBER(SEARCH("Nd",B412)),"Nd",
 IF(ISNUMBER(SEARCH("Eu",B412)),"Eu",
 IF(ISNUMBER(SEARCH("Gd",B412)),"Gd",""))))</f>
        <v/>
      </c>
      <c r="M412" s="0" t="str">
        <f aca="false">IF(L412="","",_xlfn.XLOOKUP(TRIM(L412),Metallic_Radius_Table!A:A,Metallic_Radius_Table!B:B))</f>
        <v/>
      </c>
      <c r="N412" s="0" t="str">
        <f aca="false">TRIM(LEFT(C412,FIND(",",C412)-1))</f>
        <v>Co</v>
      </c>
      <c r="O412" s="3" t="n">
        <f aca="false">IF(N412="","",_xlfn.XLOOKUP(TRIM(N412),Metallic_Radius_Table!A:A,Metallic_Radius_Table!B:B))</f>
        <v>1.25</v>
      </c>
      <c r="P412" s="0" t="s">
        <v>910</v>
      </c>
      <c r="Q412" s="0" t="n">
        <f aca="false">IF(P412="","",_xlfn.XLOOKUP(TRIM(P412),Metallic_Radius_Table!A:A,Metallic_Radius_Table!B:B))</f>
        <v>1.27</v>
      </c>
      <c r="R412" s="0" t="str">
        <f aca="false">IF(G412&gt;=1,   "Ferromagnetic / Ferrimagnetic",   IF(G412&gt;=0.05,      "Paramagnetic / Weakly magnetic",      "Antiferromagnetic / Diamagnetic"))</f>
        <v>Ferromagnetic / Ferrimagnetic</v>
      </c>
      <c r="U412" s="0" t="str">
        <f aca="false">IF(G412&gt;=1,
   "FM → PM (Curie-type)",
   IF(G412&lt;0.05,
      "AFM → PM (Néel-type)",
      "No long-range magnetic transition"))</f>
        <v>FM → PM (Curie-type)</v>
      </c>
    </row>
    <row r="413" customFormat="false" ht="14.25" hidden="false" customHeight="false" outlineLevel="0" collapsed="false">
      <c r="A413" s="0" t="s">
        <v>911</v>
      </c>
      <c r="B413" s="0" t="s">
        <v>912</v>
      </c>
      <c r="C413" s="0" t="s">
        <v>913</v>
      </c>
      <c r="D413" s="0" t="n">
        <v>-2.8229455417931</v>
      </c>
      <c r="E413" s="0" t="n">
        <v>0</v>
      </c>
      <c r="F413" s="0" t="n">
        <v>0</v>
      </c>
      <c r="G413" s="0" t="n">
        <v>9.999928</v>
      </c>
      <c r="H413" s="0" t="s">
        <v>352</v>
      </c>
      <c r="I413" s="2" t="b">
        <f aca="false">TRUE()</f>
        <v>1</v>
      </c>
      <c r="J413" s="0" t="str">
        <f aca="false">IF(AND(CODE(MID(B413,2,1))&gt;=97,CODE(MID(B413,2,1))&lt;=122),LEFT(B413,2),LEFT(B413,1))</f>
        <v>Y</v>
      </c>
      <c r="K413" s="0" t="n">
        <f aca="false">IF(J413="","",_xlfn.XLOOKUP(TRIM(J413),Metallic_Radius_Table!A:A,Metallic_Radius_Table!B:B))</f>
        <v>1.8</v>
      </c>
      <c r="L413" s="0" t="str">
        <f aca="false">IF(ISNUMBER(SEARCH("La",B413)),"La",
 IF(ISNUMBER(SEARCH("Nd",B413)),"Nd",
 IF(ISNUMBER(SEARCH("Eu",B413)),"Eu",
 IF(ISNUMBER(SEARCH("Gd",B413)),"Gd",""))))</f>
        <v/>
      </c>
      <c r="M413" s="0" t="str">
        <f aca="false">IF(L413="","",_xlfn.XLOOKUP(TRIM(L413),Metallic_Radius_Table!A:A,Metallic_Radius_Table!B:B))</f>
        <v/>
      </c>
      <c r="N413" s="0" t="str">
        <f aca="false">TRIM(LEFT(C413,FIND(",",C413)-1))</f>
        <v>Mn</v>
      </c>
      <c r="O413" s="3" t="n">
        <f aca="false">IF(N413="","",_xlfn.XLOOKUP(TRIM(N413),Metallic_Radius_Table!A:A,Metallic_Radius_Table!B:B))</f>
        <v>1.27</v>
      </c>
      <c r="P413" s="0" t="s">
        <v>914</v>
      </c>
      <c r="Q413" s="0" t="n">
        <f aca="false">IF(P413="","",_xlfn.XLOOKUP(TRIM(P413),Metallic_Radius_Table!A:A,Metallic_Radius_Table!B:B))</f>
        <v>1.24</v>
      </c>
      <c r="R413" s="0" t="str">
        <f aca="false">IF(G413&gt;=1,   "Ferromagnetic / Ferrimagnetic",   IF(G413&gt;=0.05,      "Paramagnetic / Weakly magnetic",      "Antiferromagnetic / Diamagnetic"))</f>
        <v>Ferromagnetic / Ferrimagnetic</v>
      </c>
      <c r="U413" s="0" t="str">
        <f aca="false">IF(G413&gt;=1,
   "FM → PM (Curie-type)",
   IF(G413&lt;0.05,
      "AFM → PM (Néel-type)",
      "No long-range magnetic transition"))</f>
        <v>FM → PM (Curie-type)</v>
      </c>
    </row>
    <row r="414" customFormat="false" ht="14.25" hidden="false" customHeight="false" outlineLevel="0" collapsed="false">
      <c r="A414" s="0" t="s">
        <v>915</v>
      </c>
      <c r="B414" s="0" t="s">
        <v>916</v>
      </c>
      <c r="C414" s="0" t="s">
        <v>917</v>
      </c>
      <c r="D414" s="0" t="n">
        <v>-2.66069565349999</v>
      </c>
      <c r="E414" s="0" t="n">
        <v>0.118104556249987</v>
      </c>
      <c r="F414" s="0" t="n">
        <v>1.68739999999999</v>
      </c>
      <c r="G414" s="0" t="n">
        <v>35.9993487</v>
      </c>
      <c r="H414" s="0" t="s">
        <v>91</v>
      </c>
      <c r="I414" s="2" t="b">
        <f aca="false">TRUE()</f>
        <v>1</v>
      </c>
      <c r="J414" s="0" t="str">
        <f aca="false">IF(AND(CODE(MID(B414,2,1))&gt;=97,CODE(MID(B414,2,1))&lt;=122),LEFT(B414,2),LEFT(B414,1))</f>
        <v>Y</v>
      </c>
      <c r="K414" s="0" t="n">
        <f aca="false">IF(J414="","",_xlfn.XLOOKUP(TRIM(J414),Metallic_Radius_Table!A:A,Metallic_Radius_Table!B:B))</f>
        <v>1.8</v>
      </c>
      <c r="L414" s="0" t="str">
        <f aca="false">IF(ISNUMBER(SEARCH("La",B414)),"La",
 IF(ISNUMBER(SEARCH("Nd",B414)),"Nd",
 IF(ISNUMBER(SEARCH("Eu",B414)),"Eu",
 IF(ISNUMBER(SEARCH("Gd",B414)),"Gd",""))))</f>
        <v/>
      </c>
      <c r="M414" s="0" t="str">
        <f aca="false">IF(L414="","",_xlfn.XLOOKUP(TRIM(L414),Metallic_Radius_Table!A:A,Metallic_Radius_Table!B:B))</f>
        <v/>
      </c>
      <c r="N414" s="0" t="str">
        <f aca="false">TRIM(LEFT(C414,FIND(",",C414)-1))</f>
        <v>Cr</v>
      </c>
      <c r="O414" s="3" t="n">
        <f aca="false">IF(N414="","",_xlfn.XLOOKUP(TRIM(N414),Metallic_Radius_Table!A:A,Metallic_Radius_Table!B:B))</f>
        <v>1.28</v>
      </c>
      <c r="P414" s="0" t="str">
        <f aca="false">TRIM(MID(C414,FIND(",",C414)+1,5))</f>
        <v>Y</v>
      </c>
      <c r="Q414" s="0" t="n">
        <f aca="false">IF(P414="","",_xlfn.XLOOKUP(TRIM(P414),Metallic_Radius_Table!A:A,Metallic_Radius_Table!B:B))</f>
        <v>1.8</v>
      </c>
      <c r="R414" s="0" t="str">
        <f aca="false">IF(G414&gt;=1,   "Ferromagnetic / Ferrimagnetic",   IF(G414&gt;=0.05,      "Paramagnetic / Weakly magnetic",      "Antiferromagnetic / Diamagnetic"))</f>
        <v>Ferromagnetic / Ferrimagnetic</v>
      </c>
      <c r="U414" s="0" t="str">
        <f aca="false">IF(G414&gt;=1,
   "FM → PM (Curie-type)",
   IF(G414&lt;0.05,
      "AFM → PM (Néel-type)",
      "No long-range magnetic transition"))</f>
        <v>FM → PM (Curie-type)</v>
      </c>
    </row>
    <row r="415" customFormat="false" ht="14.25" hidden="false" customHeight="false" outlineLevel="0" collapsed="false">
      <c r="A415" s="0" t="s">
        <v>918</v>
      </c>
      <c r="B415" s="0" t="s">
        <v>919</v>
      </c>
      <c r="C415" s="0" t="s">
        <v>917</v>
      </c>
      <c r="D415" s="0" t="n">
        <v>-2.53086693018518</v>
      </c>
      <c r="E415" s="0" t="n">
        <v>0</v>
      </c>
      <c r="F415" s="0" t="n">
        <v>2.6946</v>
      </c>
      <c r="G415" s="0" t="n">
        <v>5.9994493</v>
      </c>
      <c r="H415" s="0" t="s">
        <v>920</v>
      </c>
      <c r="I415" s="2" t="b">
        <f aca="false">TRUE()</f>
        <v>1</v>
      </c>
      <c r="J415" s="0" t="str">
        <f aca="false">IF(AND(CODE(MID(B415,2,1))&gt;=97,CODE(MID(B415,2,1))&lt;=122),LEFT(B415,2),LEFT(B415,1))</f>
        <v>Y</v>
      </c>
      <c r="K415" s="0" t="n">
        <f aca="false">IF(J415="","",_xlfn.XLOOKUP(TRIM(J415),Metallic_Radius_Table!A:A,Metallic_Radius_Table!B:B))</f>
        <v>1.8</v>
      </c>
      <c r="L415" s="0" t="str">
        <f aca="false">IF(ISNUMBER(SEARCH("La",B415)),"La",
 IF(ISNUMBER(SEARCH("Nd",B415)),"Nd",
 IF(ISNUMBER(SEARCH("Eu",B415)),"Eu",
 IF(ISNUMBER(SEARCH("Gd",B415)),"Gd",""))))</f>
        <v/>
      </c>
      <c r="M415" s="0" t="str">
        <f aca="false">IF(L415="","",_xlfn.XLOOKUP(TRIM(L415),Metallic_Radius_Table!A:A,Metallic_Radius_Table!B:B))</f>
        <v/>
      </c>
      <c r="N415" s="0" t="str">
        <f aca="false">TRIM(LEFT(C415,FIND(",",C415)-1))</f>
        <v>Cr</v>
      </c>
      <c r="O415" s="3" t="n">
        <f aca="false">IF(N415="","",_xlfn.XLOOKUP(TRIM(N415),Metallic_Radius_Table!A:A,Metallic_Radius_Table!B:B))</f>
        <v>1.28</v>
      </c>
      <c r="P415" s="0" t="str">
        <f aca="false">TRIM(MID(C415,FIND(",",C415)+1,5))</f>
        <v>Y</v>
      </c>
      <c r="Q415" s="0" t="n">
        <f aca="false">IF(P415="","",_xlfn.XLOOKUP(TRIM(P415),Metallic_Radius_Table!A:A,Metallic_Radius_Table!B:B))</f>
        <v>1.8</v>
      </c>
      <c r="R415" s="0" t="str">
        <f aca="false">IF(G415&gt;=1,   "Ferromagnetic / Ferrimagnetic",   IF(G415&gt;=0.05,      "Paramagnetic / Weakly magnetic",      "Antiferromagnetic / Diamagnetic"))</f>
        <v>Ferromagnetic / Ferrimagnetic</v>
      </c>
      <c r="U415" s="0" t="str">
        <f aca="false">IF(G415&gt;=1,
   "FM → PM (Curie-type)",
   IF(G415&lt;0.05,
      "AFM → PM (Néel-type)",
      "No long-range magnetic transition"))</f>
        <v>FM → PM (Curie-type)</v>
      </c>
    </row>
    <row r="416" customFormat="false" ht="14.25" hidden="false" customHeight="false" outlineLevel="0" collapsed="false">
      <c r="A416" s="0" t="s">
        <v>921</v>
      </c>
      <c r="B416" s="0" t="s">
        <v>922</v>
      </c>
      <c r="C416" s="0" t="s">
        <v>498</v>
      </c>
      <c r="D416" s="0" t="n">
        <v>-2.91072361119827</v>
      </c>
      <c r="E416" s="0" t="n">
        <v>0</v>
      </c>
      <c r="F416" s="0" t="n">
        <v>0</v>
      </c>
      <c r="G416" s="0" t="n">
        <v>7.9999996</v>
      </c>
      <c r="H416" s="0" t="s">
        <v>352</v>
      </c>
      <c r="I416" s="2" t="b">
        <f aca="false">TRUE()</f>
        <v>1</v>
      </c>
      <c r="J416" s="0" t="str">
        <f aca="false">IF(AND(CODE(MID(B416,2,1))&gt;=97,CODE(MID(B416,2,1))&lt;=122),LEFT(B416,2),LEFT(B416,1))</f>
        <v>Yb</v>
      </c>
      <c r="K416" s="0" t="n">
        <f aca="false">IF(J416="","",_xlfn.XLOOKUP(TRIM(J416),Metallic_Radius_Table!A:A,Metallic_Radius_Table!B:B))</f>
        <v>1.74</v>
      </c>
      <c r="L416" s="0" t="str">
        <f aca="false">IF(ISNUMBER(SEARCH("La",B416)),"La",
 IF(ISNUMBER(SEARCH("Nd",B416)),"Nd",
 IF(ISNUMBER(SEARCH("Eu",B416)),"Eu",
 IF(ISNUMBER(SEARCH("Gd",B416)),"Gd",""))))</f>
        <v/>
      </c>
      <c r="M416" s="0" t="str">
        <f aca="false">IF(L416="","",_xlfn.XLOOKUP(TRIM(L416),Metallic_Radius_Table!A:A,Metallic_Radius_Table!B:B))</f>
        <v/>
      </c>
      <c r="N416" s="0" t="str">
        <f aca="false">TRIM(LEFT(C416,FIND(",",C416)-1))</f>
        <v>Co</v>
      </c>
      <c r="O416" s="3" t="n">
        <f aca="false">IF(N416="","",_xlfn.XLOOKUP(TRIM(N416),Metallic_Radius_Table!A:A,Metallic_Radius_Table!B:B))</f>
        <v>1.25</v>
      </c>
      <c r="P416" s="0" t="str">
        <f aca="false">TRIM(MID(C416,FIND(",",C416)+1,5))</f>
        <v>Mn</v>
      </c>
      <c r="Q416" s="0" t="n">
        <f aca="false">IF(P416="","",_xlfn.XLOOKUP(TRIM(P416),Metallic_Radius_Table!A:A,Metallic_Radius_Table!B:B))</f>
        <v>1.27</v>
      </c>
      <c r="R416" s="0" t="str">
        <f aca="false">IF(G416&gt;=1,   "Ferromagnetic / Ferrimagnetic",   IF(G416&gt;=0.05,      "Paramagnetic / Weakly magnetic",      "Antiferromagnetic / Diamagnetic"))</f>
        <v>Ferromagnetic / Ferrimagnetic</v>
      </c>
      <c r="U416" s="0" t="str">
        <f aca="false">IF(G416&gt;=1,
   "FM → PM (Curie-type)",
   IF(G416&lt;0.05,
      "AFM → PM (Néel-type)",
      "No long-range magnetic transition"))</f>
        <v>FM → PM (Curie-type)</v>
      </c>
    </row>
    <row r="417" customFormat="false" ht="14.25" hidden="false" customHeight="false" outlineLevel="0" collapsed="false">
      <c r="A417" s="0" t="s">
        <v>923</v>
      </c>
      <c r="B417" s="0" t="s">
        <v>924</v>
      </c>
      <c r="C417" s="0" t="s">
        <v>441</v>
      </c>
      <c r="D417" s="0" t="n">
        <v>-3.51277001266666</v>
      </c>
      <c r="E417" s="0" t="n">
        <v>0</v>
      </c>
      <c r="F417" s="0" t="n">
        <v>0</v>
      </c>
      <c r="G417" s="0" t="n">
        <v>0</v>
      </c>
      <c r="H417" s="0" t="s">
        <v>352</v>
      </c>
      <c r="I417" s="2" t="b">
        <f aca="false">TRUE()</f>
        <v>1</v>
      </c>
      <c r="J417" s="0" t="str">
        <f aca="false">IF(AND(CODE(MID(B417,2,1))&gt;=97,CODE(MID(B417,2,1))&lt;=122),LEFT(B417,2),LEFT(B417,1))</f>
        <v>Yb</v>
      </c>
      <c r="K417" s="0" t="n">
        <f aca="false">IF(J417="","",_xlfn.XLOOKUP(TRIM(J417),Metallic_Radius_Table!A:A,Metallic_Radius_Table!B:B))</f>
        <v>1.74</v>
      </c>
      <c r="L417" s="0" t="str">
        <f aca="false">IF(ISNUMBER(SEARCH("La",B417)),"La",
 IF(ISNUMBER(SEARCH("Nd",B417)),"Nd",
 IF(ISNUMBER(SEARCH("Eu",B417)),"Eu",
 IF(ISNUMBER(SEARCH("Gd",B417)),"Gd",""))))</f>
        <v/>
      </c>
      <c r="M417" s="0" t="str">
        <f aca="false">IF(L417="","",_xlfn.XLOOKUP(TRIM(L417),Metallic_Radius_Table!A:A,Metallic_Radius_Table!B:B))</f>
        <v/>
      </c>
      <c r="N417" s="0" t="str">
        <f aca="false">TRIM(LEFT(C417,FIND(",",C417)-1))</f>
        <v>Ta</v>
      </c>
      <c r="O417" s="3" t="n">
        <f aca="false">IF(N417="","",_xlfn.XLOOKUP(TRIM(N417),Metallic_Radius_Table!A:A,Metallic_Radius_Table!B:B))</f>
        <v>1.46</v>
      </c>
      <c r="P417" s="0" t="str">
        <f aca="false">TRIM(MID(C417,FIND(",",C417)+1,5))</f>
        <v>Ti</v>
      </c>
      <c r="Q417" s="0" t="n">
        <f aca="false">IF(P417="","",_xlfn.XLOOKUP(TRIM(P417),Metallic_Radius_Table!A:A,Metallic_Radius_Table!B:B))</f>
        <v>1.47</v>
      </c>
      <c r="R417" s="0" t="str">
        <f aca="false">IF(G417&gt;=1,   "Ferromagnetic / Ferrimagnetic",   IF(G417&gt;=0.05,      "Paramagnetic / Weakly magnetic",      "Antiferromagnetic / Diamagnetic"))</f>
        <v>Antiferromagnetic / Diamagnetic</v>
      </c>
      <c r="U417" s="0" t="str">
        <f aca="false">IF(G417&gt;=1,
   "FM → PM (Curie-type)",
   IF(G417&lt;0.05,
      "AFM → PM (Néel-type)",
      "No long-range magnetic transition"))</f>
        <v>AFM → PM (Néel-type)</v>
      </c>
    </row>
  </sheetData>
  <autoFilter ref="A1:L41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U14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2" min="2" style="0" width="16"/>
    <col collapsed="false" customWidth="true" hidden="false" outlineLevel="0" max="7" min="7" style="0" width="24.56"/>
  </cols>
  <sheetData>
    <row r="1" s="1" customFormat="true" ht="99.3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U1" s="1" t="s">
        <v>18</v>
      </c>
    </row>
    <row r="2" customFormat="false" ht="15.75" hidden="false" customHeight="true" outlineLevel="0" collapsed="false">
      <c r="A2" s="0" t="s">
        <v>925</v>
      </c>
      <c r="B2" s="0" t="s">
        <v>926</v>
      </c>
      <c r="C2" s="0" t="s">
        <v>79</v>
      </c>
      <c r="D2" s="0" t="n">
        <v>-2.87557370914655</v>
      </c>
      <c r="E2" s="0" t="n">
        <v>0.132577761516666</v>
      </c>
      <c r="F2" s="0" t="n">
        <v>2.26459999999999</v>
      </c>
      <c r="G2" s="0" t="n">
        <v>6.9992259</v>
      </c>
      <c r="H2" s="0" t="s">
        <v>43</v>
      </c>
      <c r="I2" s="2" t="b">
        <f aca="false">TRUE()</f>
        <v>1</v>
      </c>
      <c r="J2" s="0" t="str">
        <f aca="false">IF(AND(CODE(MID(B2,2,1))&gt;=97,CODE(MID(B2,2,1))&lt;=122),LEFT(B2,2),LEFT(B2,1))</f>
        <v>Ba</v>
      </c>
      <c r="K2" s="0" t="n">
        <f aca="false">IF(J2="","",_xlfn.XLOOKUP(TRIM(J2),Metallic_Radius_Table!A:A,Metallic_Radius_Table!B:B))</f>
        <v>2.17</v>
      </c>
      <c r="L2" s="0" t="str">
        <f aca="false">IF(ISNUMBER(SEARCH("La",B2)),"La",
 IF(ISNUMBER(SEARCH("Nd",B2)),"Nd",
 IF(ISNUMBER(SEARCH("Eu",B2)),"Eu",
 IF(ISNUMBER(SEARCH("Gd",B2)),"Gd",""))))</f>
        <v>La</v>
      </c>
      <c r="M2" s="0" t="n">
        <f aca="false">IF(L2="","",_xlfn.XLOOKUP(TRIM(L2),Metallic_Radius_Table!A:A,Metallic_Radius_Table!B:B))</f>
        <v>1.87</v>
      </c>
      <c r="N2" s="0" t="str">
        <f aca="false">TRIM(LEFT(C2,FIND(",",C2)-1))</f>
        <v>Mn</v>
      </c>
      <c r="O2" s="3" t="n">
        <f aca="false">IF(N2="","",_xlfn.XLOOKUP(TRIM(N2),Metallic_Radius_Table!A:A,Metallic_Radius_Table!B:B))</f>
        <v>1.27</v>
      </c>
      <c r="P2" s="0" t="str">
        <f aca="false">TRIM(MID(C2,FIND(",",C2)+1,5))</f>
        <v>W</v>
      </c>
      <c r="Q2" s="0" t="n">
        <f aca="false">IF(P2="","",_xlfn.XLOOKUP(TRIM(P2),Metallic_Radius_Table!A:A,Metallic_Radius_Table!B:B))</f>
        <v>1.41</v>
      </c>
      <c r="R2" s="0" t="str">
        <f aca="false">IF(G2&gt;=1,   "Ferromagnetic / Ferrimagnetic",   IF(G2&gt;=0.05,      "Paramagnetic / Weakly magnetic",      "Antiferromagnetic / Diamagnetic"))</f>
        <v>Ferromagnetic / Ferrimagnetic</v>
      </c>
      <c r="U2" s="0" t="str">
        <f aca="false">IF(G2&gt;=1,
   "FM → PM (Curie-type)",
   IF(G2&lt;0.05,
      "AFM → PM (Néel-type)",
      "No long-range magnetic transition"))</f>
        <v>FM → PM (Curie-type)</v>
      </c>
    </row>
    <row r="3" customFormat="false" ht="13.8" hidden="false" customHeight="false" outlineLevel="0" collapsed="false">
      <c r="A3" s="0" t="s">
        <v>927</v>
      </c>
      <c r="B3" s="0" t="s">
        <v>928</v>
      </c>
      <c r="C3" s="0" t="s">
        <v>79</v>
      </c>
      <c r="D3" s="0" t="n">
        <v>-2.93686825752268</v>
      </c>
      <c r="E3" s="0" t="n">
        <v>0.073534983157902</v>
      </c>
      <c r="F3" s="0" t="n">
        <v>1.5055</v>
      </c>
      <c r="G3" s="0" t="n">
        <v>0</v>
      </c>
      <c r="H3" s="0" t="s">
        <v>28</v>
      </c>
      <c r="I3" s="2" t="b">
        <f aca="false">TRUE()</f>
        <v>1</v>
      </c>
      <c r="J3" s="0" t="str">
        <f aca="false">IF(AND(CODE(MID(B3,2,1))&gt;=97,CODE(MID(B3,2,1))&lt;=122),LEFT(B3,2),LEFT(B3,1))</f>
        <v>Ba</v>
      </c>
      <c r="K3" s="0" t="n">
        <f aca="false">IF(J3="","",_xlfn.XLOOKUP(TRIM(J3),Metallic_Radius_Table!A:A,Metallic_Radius_Table!B:B))</f>
        <v>2.17</v>
      </c>
      <c r="L3" s="0" t="str">
        <f aca="false">IF(ISNUMBER(SEARCH("La",B3)),"La",
 IF(ISNUMBER(SEARCH("Nd",B3)),"Nd",
 IF(ISNUMBER(SEARCH("Eu",B3)),"Eu",
 IF(ISNUMBER(SEARCH("Gd",B3)),"Gd",""))))</f>
        <v>La</v>
      </c>
      <c r="M3" s="0" t="n">
        <f aca="false">IF(L3="","",_xlfn.XLOOKUP(TRIM(L3),Metallic_Radius_Table!A:A,Metallic_Radius_Table!B:B))</f>
        <v>1.87</v>
      </c>
      <c r="N3" s="0" t="str">
        <f aca="false">TRIM(LEFT(C3,FIND(",",C3)-1))</f>
        <v>Mn</v>
      </c>
      <c r="O3" s="3" t="n">
        <f aca="false">IF(N3="","",_xlfn.XLOOKUP(TRIM(N3),Metallic_Radius_Table!A:A,Metallic_Radius_Table!B:B))</f>
        <v>1.27</v>
      </c>
      <c r="P3" s="0" t="str">
        <f aca="false">TRIM(MID(C3,FIND(",",C3)+1,5))</f>
        <v>W</v>
      </c>
      <c r="Q3" s="0" t="n">
        <f aca="false">IF(P3="","",_xlfn.XLOOKUP(TRIM(P3),Metallic_Radius_Table!A:A,Metallic_Radius_Table!B:B))</f>
        <v>1.41</v>
      </c>
      <c r="R3" s="0" t="str">
        <f aca="false">IF(G3&gt;=1,   "Ferromagnetic / Ferrimagnetic",   IF(G3&gt;=0.05,      "Paramagnetic / Weakly magnetic",      "Antiferromagnetic / Diamagnetic"))</f>
        <v>Antiferromagnetic / Diamagnetic</v>
      </c>
      <c r="U3" s="0" t="str">
        <f aca="false">IF(G3&gt;=1,
   "FM → PM (Curie-type)",
   IF(G3&lt;0.05,
      "AFM → PM (Néel-type)",
      "No long-range magnetic transition"))</f>
        <v>AFM → PM (Néel-type)</v>
      </c>
    </row>
    <row r="4" customFormat="false" ht="13.8" hidden="false" customHeight="false" outlineLevel="0" collapsed="false">
      <c r="A4" s="0" t="s">
        <v>929</v>
      </c>
      <c r="B4" s="0" t="s">
        <v>930</v>
      </c>
      <c r="C4" s="0" t="s">
        <v>108</v>
      </c>
      <c r="D4" s="0" t="n">
        <v>-2.86458806368421</v>
      </c>
      <c r="E4" s="0" t="n">
        <v>0.049330127894741</v>
      </c>
      <c r="F4" s="0" t="n">
        <v>3.30239999999999</v>
      </c>
      <c r="G4" s="0" t="n">
        <v>1.9999981</v>
      </c>
      <c r="H4" s="0" t="s">
        <v>28</v>
      </c>
      <c r="I4" s="2" t="b">
        <f aca="false">TRUE()</f>
        <v>1</v>
      </c>
      <c r="J4" s="0" t="str">
        <f aca="false">IF(AND(CODE(MID(B4,2,1))&gt;=97,CODE(MID(B4,2,1))&lt;=122),LEFT(B4,2),LEFT(B4,1))</f>
        <v>Ba</v>
      </c>
      <c r="K4" s="0" t="n">
        <f aca="false">IF(J4="","",_xlfn.XLOOKUP(TRIM(J4),Metallic_Radius_Table!A:A,Metallic_Radius_Table!B:B))</f>
        <v>2.17</v>
      </c>
      <c r="L4" s="0" t="str">
        <f aca="false">IF(ISNUMBER(SEARCH("La",B4)),"La",
 IF(ISNUMBER(SEARCH("Nd",B4)),"Nd",
 IF(ISNUMBER(SEARCH("Eu",B4)),"Eu",
 IF(ISNUMBER(SEARCH("Gd",B4)),"Gd",""))))</f>
        <v>La</v>
      </c>
      <c r="M4" s="0" t="n">
        <f aca="false">IF(L4="","",_xlfn.XLOOKUP(TRIM(L4),Metallic_Radius_Table!A:A,Metallic_Radius_Table!B:B))</f>
        <v>1.87</v>
      </c>
      <c r="N4" s="0" t="str">
        <f aca="false">TRIM(LEFT(C4,FIND(",",C4)-1))</f>
        <v>Ni</v>
      </c>
      <c r="O4" s="3" t="n">
        <f aca="false">IF(N4="","",_xlfn.XLOOKUP(TRIM(N4),Metallic_Radius_Table!A:A,Metallic_Radius_Table!B:B))</f>
        <v>1.24</v>
      </c>
      <c r="P4" s="0" t="str">
        <f aca="false">TRIM(MID(C4,FIND(",",C4)+1,5))</f>
        <v>W</v>
      </c>
      <c r="Q4" s="0" t="n">
        <f aca="false">IF(P4="","",_xlfn.XLOOKUP(TRIM(P4),Metallic_Radius_Table!A:A,Metallic_Radius_Table!B:B))</f>
        <v>1.41</v>
      </c>
      <c r="R4" s="0" t="str">
        <f aca="false">IF(G4&gt;=1,   "Ferromagnetic / Ferrimagnetic",   IF(G4&gt;=0.05,      "Paramagnetic / Weakly magnetic",      "Antiferromagnetic / Diamagnetic"))</f>
        <v>Ferromagnetic / Ferrimagnetic</v>
      </c>
      <c r="U4" s="0" t="str">
        <f aca="false">IF(G4&gt;=1,
   "FM → PM (Curie-type)",
   IF(G4&lt;0.05,
      "AFM → PM (Néel-type)",
      "No long-range magnetic transition"))</f>
        <v>FM → PM (Curie-type)</v>
      </c>
    </row>
    <row r="5" customFormat="false" ht="13.8" hidden="false" customHeight="false" outlineLevel="0" collapsed="false">
      <c r="A5" s="0" t="s">
        <v>931</v>
      </c>
      <c r="B5" s="0" t="s">
        <v>932</v>
      </c>
      <c r="C5" s="0" t="s">
        <v>27</v>
      </c>
      <c r="D5" s="0" t="n">
        <v>-2.5825823395</v>
      </c>
      <c r="E5" s="0" t="n">
        <v>0.084036585750009</v>
      </c>
      <c r="F5" s="0" t="n">
        <v>0</v>
      </c>
      <c r="G5" s="0" t="n">
        <v>3.0158583</v>
      </c>
      <c r="H5" s="0" t="s">
        <v>28</v>
      </c>
      <c r="I5" s="2" t="b">
        <f aca="false">TRUE()</f>
        <v>1</v>
      </c>
      <c r="J5" s="0" t="str">
        <f aca="false">IF(AND(CODE(MID(B5,2,1))&gt;=97,CODE(MID(B5,2,1))&lt;=122),LEFT(B5,2),LEFT(B5,1))</f>
        <v>Ba</v>
      </c>
      <c r="K5" s="0" t="n">
        <f aca="false">IF(J5="","",_xlfn.XLOOKUP(TRIM(J5),Metallic_Radius_Table!A:A,Metallic_Radius_Table!B:B))</f>
        <v>2.17</v>
      </c>
      <c r="L5" s="0" t="str">
        <f aca="false">IF(ISNUMBER(SEARCH("La",B5)),"La",
 IF(ISNUMBER(SEARCH("Nd",B5)),"Nd",
 IF(ISNUMBER(SEARCH("Eu",B5)),"Eu",
 IF(ISNUMBER(SEARCH("Gd",B5)),"Gd",""))))</f>
        <v/>
      </c>
      <c r="M5" s="0" t="str">
        <f aca="false">IF(L5="","",_xlfn.XLOOKUP(TRIM(L5),Metallic_Radius_Table!A:A,Metallic_Radius_Table!B:B))</f>
        <v/>
      </c>
      <c r="N5" s="0" t="str">
        <f aca="false">TRIM(LEFT(C5,FIND(",",C5)-1))</f>
        <v>Re</v>
      </c>
      <c r="O5" s="3" t="n">
        <f aca="false">IF(N5="","",_xlfn.XLOOKUP(TRIM(N5),Metallic_Radius_Table!A:A,Metallic_Radius_Table!B:B))</f>
        <v>1.37</v>
      </c>
      <c r="P5" s="0" t="str">
        <f aca="false">TRIM(MID(C5,FIND(",",C5)+1,5))</f>
        <v>Co</v>
      </c>
      <c r="Q5" s="0" t="n">
        <f aca="false">IF(P5="","",_xlfn.XLOOKUP(TRIM(P5),Metallic_Radius_Table!A:A,Metallic_Radius_Table!B:B))</f>
        <v>1.25</v>
      </c>
      <c r="R5" s="0" t="str">
        <f aca="false">IF(G5&gt;=1,   "Ferromagnetic / Ferrimagnetic",   IF(G5&gt;=0.05,      "Paramagnetic / Weakly magnetic",      "Antiferromagnetic / Diamagnetic"))</f>
        <v>Ferromagnetic / Ferrimagnetic</v>
      </c>
      <c r="U5" s="0" t="str">
        <f aca="false">IF(G5&gt;=1,
   "FM → PM (Curie-type)",
   IF(G5&lt;0.05,
      "AFM → PM (Néel-type)",
      "No long-range magnetic transition"))</f>
        <v>FM → PM (Curie-type)</v>
      </c>
    </row>
    <row r="6" customFormat="false" ht="13.8" hidden="false" customHeight="false" outlineLevel="0" collapsed="false">
      <c r="A6" s="0" t="s">
        <v>933</v>
      </c>
      <c r="B6" s="0" t="s">
        <v>934</v>
      </c>
      <c r="C6" s="0" t="s">
        <v>935</v>
      </c>
      <c r="D6" s="0" t="n">
        <v>-2.72407456357777</v>
      </c>
      <c r="E6" s="0" t="n">
        <v>0</v>
      </c>
      <c r="F6" s="0" t="n">
        <v>0</v>
      </c>
      <c r="G6" s="0" t="n">
        <v>3</v>
      </c>
      <c r="H6" s="0" t="s">
        <v>32</v>
      </c>
      <c r="I6" s="2" t="b">
        <f aca="false">TRUE()</f>
        <v>1</v>
      </c>
      <c r="J6" s="0" t="str">
        <f aca="false">IF(AND(CODE(MID(B6,2,1))&gt;=97,CODE(MID(B6,2,1))&lt;=122),LEFT(B6,2),LEFT(B6,1))</f>
        <v>Ba</v>
      </c>
      <c r="K6" s="0" t="n">
        <f aca="false">IF(J6="","",_xlfn.XLOOKUP(TRIM(J6),Metallic_Radius_Table!A:A,Metallic_Radius_Table!B:B))</f>
        <v>2.17</v>
      </c>
      <c r="L6" s="0" t="str">
        <f aca="false">IF(ISNUMBER(SEARCH("La",B6)),"La",
 IF(ISNUMBER(SEARCH("Nd",B6)),"Nd",
 IF(ISNUMBER(SEARCH("Eu",B6)),"Eu",
 IF(ISNUMBER(SEARCH("Gd",B6)),"Gd",""))))</f>
        <v/>
      </c>
      <c r="M6" s="0" t="str">
        <f aca="false">IF(L6="","",_xlfn.XLOOKUP(TRIM(L6),Metallic_Radius_Table!A:A,Metallic_Radius_Table!B:B))</f>
        <v/>
      </c>
      <c r="N6" s="0" t="str">
        <f aca="false">TRIM(LEFT(C6,FIND(",",C6)-1))</f>
        <v>Ta</v>
      </c>
      <c r="O6" s="3" t="n">
        <f aca="false">IF(N6="","",_xlfn.XLOOKUP(TRIM(N6),Metallic_Radius_Table!A:A,Metallic_Radius_Table!B:B))</f>
        <v>1.46</v>
      </c>
      <c r="P6" s="0" t="str">
        <f aca="false">TRIM(MID(C6,FIND(",",C6)+1,5))</f>
        <v>Ru</v>
      </c>
      <c r="Q6" s="0" t="n">
        <f aca="false">IF(P6="","",_xlfn.XLOOKUP(TRIM(P6),Metallic_Radius_Table!A:A,Metallic_Radius_Table!B:B))</f>
        <v>1.34</v>
      </c>
      <c r="R6" s="0" t="str">
        <f aca="false">IF(G6&gt;=1,   "Ferromagnetic / Ferrimagnetic",   IF(G6&gt;=0.05,      "Paramagnetic / Weakly magnetic",      "Antiferromagnetic / Diamagnetic"))</f>
        <v>Ferromagnetic / Ferrimagnetic</v>
      </c>
      <c r="U6" s="0" t="str">
        <f aca="false">IF(G6&gt;=1,
   "FM → PM (Curie-type)",
   IF(G6&lt;0.05,
      "AFM → PM (Néel-type)",
      "No long-range magnetic transition"))</f>
        <v>FM → PM (Curie-type)</v>
      </c>
    </row>
    <row r="7" customFormat="false" ht="13.8" hidden="false" customHeight="false" outlineLevel="0" collapsed="false">
      <c r="A7" s="0" t="s">
        <v>936</v>
      </c>
      <c r="B7" s="0" t="s">
        <v>937</v>
      </c>
      <c r="C7" s="0" t="s">
        <v>79</v>
      </c>
      <c r="D7" s="0" t="n">
        <v>-2.85663138382283</v>
      </c>
      <c r="E7" s="0" t="n">
        <v>0.117436121729902</v>
      </c>
      <c r="F7" s="0" t="n">
        <v>1.49499999999999</v>
      </c>
      <c r="G7" s="0" t="n">
        <v>11.0028718</v>
      </c>
      <c r="H7" s="0" t="s">
        <v>938</v>
      </c>
      <c r="I7" s="2" t="b">
        <f aca="false">TRUE()</f>
        <v>1</v>
      </c>
      <c r="J7" s="0" t="str">
        <f aca="false">IF(AND(CODE(MID(B7,2,1))&gt;=97,CODE(MID(B7,2,1))&lt;=122),LEFT(B7,2),LEFT(B7,1))</f>
        <v>Ba</v>
      </c>
      <c r="K7" s="0" t="n">
        <f aca="false">IF(J7="","",_xlfn.XLOOKUP(TRIM(J7),Metallic_Radius_Table!A:A,Metallic_Radius_Table!B:B))</f>
        <v>2.17</v>
      </c>
      <c r="L7" s="0" t="str">
        <f aca="false">IF(ISNUMBER(SEARCH("La",B7)),"La",
 IF(ISNUMBER(SEARCH("Nd",B7)),"Nd",
 IF(ISNUMBER(SEARCH("Eu",B7)),"Eu",
 IF(ISNUMBER(SEARCH("Gd",B7)),"Gd",""))))</f>
        <v>La</v>
      </c>
      <c r="M7" s="0" t="n">
        <f aca="false">IF(L7="","",_xlfn.XLOOKUP(TRIM(L7),Metallic_Radius_Table!A:A,Metallic_Radius_Table!B:B))</f>
        <v>1.87</v>
      </c>
      <c r="N7" s="0" t="str">
        <f aca="false">TRIM(LEFT(C7,FIND(",",C7)-1))</f>
        <v>Mn</v>
      </c>
      <c r="O7" s="3" t="n">
        <f aca="false">IF(N7="","",_xlfn.XLOOKUP(TRIM(N7),Metallic_Radius_Table!A:A,Metallic_Radius_Table!B:B))</f>
        <v>1.27</v>
      </c>
      <c r="P7" s="0" t="str">
        <f aca="false">TRIM(MID(C7,FIND(",",C7)+1,5))</f>
        <v>W</v>
      </c>
      <c r="Q7" s="0" t="n">
        <f aca="false">IF(P7="","",_xlfn.XLOOKUP(TRIM(P7),Metallic_Radius_Table!A:A,Metallic_Radius_Table!B:B))</f>
        <v>1.41</v>
      </c>
      <c r="R7" s="0" t="str">
        <f aca="false">IF(G7&gt;=1,   "Ferromagnetic / Ferrimagnetic",   IF(G7&gt;=0.05,      "Paramagnetic / Weakly magnetic",      "Antiferromagnetic / Diamagnetic"))</f>
        <v>Ferromagnetic / Ferrimagnetic</v>
      </c>
      <c r="U7" s="0" t="str">
        <f aca="false">IF(G7&gt;=1,
   "FM → PM (Curie-type)",
   IF(G7&lt;0.05,
      "AFM → PM (Néel-type)",
      "No long-range magnetic transition"))</f>
        <v>FM → PM (Curie-type)</v>
      </c>
    </row>
    <row r="8" customFormat="false" ht="13.8" hidden="false" customHeight="false" outlineLevel="0" collapsed="false">
      <c r="A8" s="0" t="s">
        <v>939</v>
      </c>
      <c r="B8" s="0" t="s">
        <v>940</v>
      </c>
      <c r="C8" s="0" t="s">
        <v>27</v>
      </c>
      <c r="D8" s="0" t="n">
        <v>-2.62795413868421</v>
      </c>
      <c r="E8" s="0" t="n">
        <v>0</v>
      </c>
      <c r="F8" s="0" t="n">
        <v>1.536</v>
      </c>
      <c r="G8" s="0" t="n">
        <v>2.99999989999999</v>
      </c>
      <c r="H8" s="0" t="s">
        <v>28</v>
      </c>
      <c r="I8" s="2" t="b">
        <f aca="false">TRUE()</f>
        <v>1</v>
      </c>
      <c r="J8" s="0" t="str">
        <f aca="false">IF(AND(CODE(MID(B8,2,1))&gt;=97,CODE(MID(B8,2,1))&lt;=122),LEFT(B8,2),LEFT(B8,1))</f>
        <v>Ba</v>
      </c>
      <c r="K8" s="0" t="n">
        <f aca="false">IF(J8="","",_xlfn.XLOOKUP(TRIM(J8),Metallic_Radius_Table!A:A,Metallic_Radius_Table!B:B))</f>
        <v>2.17</v>
      </c>
      <c r="L8" s="0" t="str">
        <f aca="false">IF(ISNUMBER(SEARCH("La",B8)),"La",
 IF(ISNUMBER(SEARCH("Nd",B8)),"Nd",
 IF(ISNUMBER(SEARCH("Eu",B8)),"Eu",
 IF(ISNUMBER(SEARCH("Gd",B8)),"Gd",""))))</f>
        <v/>
      </c>
      <c r="M8" s="0" t="str">
        <f aca="false">IF(L8="","",_xlfn.XLOOKUP(TRIM(L8),Metallic_Radius_Table!A:A,Metallic_Radius_Table!B:B))</f>
        <v/>
      </c>
      <c r="N8" s="0" t="str">
        <f aca="false">TRIM(LEFT(C8,FIND(",",C8)-1))</f>
        <v>Re</v>
      </c>
      <c r="O8" s="3" t="n">
        <f aca="false">IF(N8="","",_xlfn.XLOOKUP(TRIM(N8),Metallic_Radius_Table!A:A,Metallic_Radius_Table!B:B))</f>
        <v>1.37</v>
      </c>
      <c r="P8" s="0" t="str">
        <f aca="false">TRIM(MID(C8,FIND(",",C8)+1,5))</f>
        <v>Co</v>
      </c>
      <c r="Q8" s="0" t="n">
        <f aca="false">IF(P8="","",_xlfn.XLOOKUP(TRIM(P8),Metallic_Radius_Table!A:A,Metallic_Radius_Table!B:B))</f>
        <v>1.25</v>
      </c>
      <c r="R8" s="0" t="str">
        <f aca="false">IF(G8&gt;=1,   "Ferromagnetic / Ferrimagnetic",   IF(G8&gt;=0.05,      "Paramagnetic / Weakly magnetic",      "Antiferromagnetic / Diamagnetic"))</f>
        <v>Ferromagnetic / Ferrimagnetic</v>
      </c>
      <c r="U8" s="0" t="str">
        <f aca="false">IF(G8&gt;=1,
   "FM → PM (Curie-type)",
   IF(G8&lt;0.05,
      "AFM → PM (Néel-type)",
      "No long-range magnetic transition"))</f>
        <v>FM → PM (Curie-type)</v>
      </c>
    </row>
    <row r="9" customFormat="false" ht="13.8" hidden="false" customHeight="false" outlineLevel="0" collapsed="false">
      <c r="A9" s="0" t="s">
        <v>941</v>
      </c>
      <c r="B9" s="0" t="s">
        <v>942</v>
      </c>
      <c r="C9" s="0" t="s">
        <v>286</v>
      </c>
      <c r="D9" s="0" t="n">
        <v>-2.37825867767695</v>
      </c>
      <c r="E9" s="0" t="n">
        <v>0.163849810649129</v>
      </c>
      <c r="F9" s="0" t="n">
        <v>0</v>
      </c>
      <c r="G9" s="0" t="n">
        <v>13.9986935</v>
      </c>
      <c r="H9" s="0" t="s">
        <v>58</v>
      </c>
      <c r="I9" s="2" t="b">
        <f aca="false">TRUE()</f>
        <v>1</v>
      </c>
      <c r="J9" s="0" t="str">
        <f aca="false">IF(AND(CODE(MID(B9,2,1))&gt;=97,CODE(MID(B9,2,1))&lt;=122),LEFT(B9,2),LEFT(B9,1))</f>
        <v>Ca</v>
      </c>
      <c r="K9" s="0" t="n">
        <f aca="false">IF(J9="","",_xlfn.XLOOKUP(TRIM(J9),Metallic_Radius_Table!A:A,Metallic_Radius_Table!B:B))</f>
        <v>1.97</v>
      </c>
      <c r="L9" s="0" t="str">
        <f aca="false">IF(ISNUMBER(SEARCH("La",B9)),"La",
 IF(ISNUMBER(SEARCH("Nd",B9)),"Nd",
 IF(ISNUMBER(SEARCH("Eu",B9)),"Eu",
 IF(ISNUMBER(SEARCH("Gd",B9)),"Gd",""))))</f>
        <v>La</v>
      </c>
      <c r="M9" s="0" t="n">
        <f aca="false">IF(L9="","",_xlfn.XLOOKUP(TRIM(L9),Metallic_Radius_Table!A:A,Metallic_Radius_Table!B:B))</f>
        <v>1.87</v>
      </c>
      <c r="N9" s="0" t="str">
        <f aca="false">TRIM(LEFT(C9,FIND(",",C9)-1))</f>
        <v>Fe</v>
      </c>
      <c r="O9" s="3" t="n">
        <f aca="false">IF(N9="","",_xlfn.XLOOKUP(TRIM(N9),Metallic_Radius_Table!A:A,Metallic_Radius_Table!B:B))</f>
        <v>1.26</v>
      </c>
      <c r="P9" s="0" t="str">
        <f aca="false">TRIM(MID(C9,FIND(",",C9)+1,5))</f>
        <v>Mn</v>
      </c>
      <c r="Q9" s="0" t="n">
        <f aca="false">IF(P9="","",_xlfn.XLOOKUP(TRIM(P9),Metallic_Radius_Table!A:A,Metallic_Radius_Table!B:B))</f>
        <v>1.27</v>
      </c>
      <c r="R9" s="0" t="str">
        <f aca="false">IF(G9&gt;=1,   "Ferromagnetic / Ferrimagnetic",   IF(G9&gt;=0.05,      "Paramagnetic / Weakly magnetic",      "Antiferromagnetic / Diamagnetic"))</f>
        <v>Ferromagnetic / Ferrimagnetic</v>
      </c>
      <c r="U9" s="0" t="str">
        <f aca="false">IF(G9&gt;=1,
   "FM → PM (Curie-type)",
   IF(G9&lt;0.05,
      "AFM → PM (Néel-type)",
      "No long-range magnetic transition"))</f>
        <v>FM → PM (Curie-type)</v>
      </c>
    </row>
    <row r="10" customFormat="false" ht="13.8" hidden="false" customHeight="false" outlineLevel="0" collapsed="false">
      <c r="A10" s="0" t="s">
        <v>943</v>
      </c>
      <c r="B10" s="0" t="s">
        <v>944</v>
      </c>
      <c r="C10" s="0" t="s">
        <v>498</v>
      </c>
      <c r="D10" s="0" t="n">
        <v>-1.77301284956442</v>
      </c>
      <c r="E10" s="0" t="n">
        <v>0.097461767886749</v>
      </c>
      <c r="F10" s="0" t="n">
        <v>1.16069999999999</v>
      </c>
      <c r="G10" s="0" t="n">
        <v>19.9994654</v>
      </c>
      <c r="H10" s="0" t="s">
        <v>45</v>
      </c>
      <c r="I10" s="2" t="b">
        <f aca="false">TRUE()</f>
        <v>1</v>
      </c>
      <c r="J10" s="0" t="str">
        <f aca="false">IF(AND(CODE(MID(B10,2,1))&gt;=97,CODE(MID(B10,2,1))&lt;=122),LEFT(B10,2),LEFT(B10,1))</f>
        <v>Ca</v>
      </c>
      <c r="K10" s="0" t="n">
        <f aca="false">IF(J10="","",_xlfn.XLOOKUP(TRIM(J10),Metallic_Radius_Table!A:A,Metallic_Radius_Table!B:B))</f>
        <v>1.97</v>
      </c>
      <c r="L10" s="0" t="str">
        <f aca="false">IF(ISNUMBER(SEARCH("La",B10)),"La",
 IF(ISNUMBER(SEARCH("Nd",B10)),"Nd",
 IF(ISNUMBER(SEARCH("Eu",B10)),"Eu",
 IF(ISNUMBER(SEARCH("Gd",B10)),"Gd",""))))</f>
        <v/>
      </c>
      <c r="M10" s="0" t="str">
        <f aca="false">IF(L10="","",_xlfn.XLOOKUP(TRIM(L10),Metallic_Radius_Table!A:A,Metallic_Radius_Table!B:B))</f>
        <v/>
      </c>
      <c r="N10" s="0" t="str">
        <f aca="false">TRIM(LEFT(C10,FIND(",",C10)-1))</f>
        <v>Co</v>
      </c>
      <c r="O10" s="3" t="n">
        <f aca="false">IF(N10="","",_xlfn.XLOOKUP(TRIM(N10),Metallic_Radius_Table!A:A,Metallic_Radius_Table!B:B))</f>
        <v>1.25</v>
      </c>
      <c r="P10" s="0" t="str">
        <f aca="false">TRIM(MID(C10,FIND(",",C10)+1,5))</f>
        <v>Mn</v>
      </c>
      <c r="Q10" s="0" t="n">
        <f aca="false">IF(P10="","",_xlfn.XLOOKUP(TRIM(P10),Metallic_Radius_Table!A:A,Metallic_Radius_Table!B:B))</f>
        <v>1.27</v>
      </c>
      <c r="R10" s="0" t="str">
        <f aca="false">IF(G10&gt;=1,   "Ferromagnetic / Ferrimagnetic",   IF(G10&gt;=0.05,      "Paramagnetic / Weakly magnetic",      "Antiferromagnetic / Diamagnetic"))</f>
        <v>Ferromagnetic / Ferrimagnetic</v>
      </c>
      <c r="U10" s="0" t="str">
        <f aca="false">IF(G10&gt;=1,
   "FM → PM (Curie-type)",
   IF(G10&lt;0.05,
      "AFM → PM (Néel-type)",
      "No long-range magnetic transition"))</f>
        <v>FM → PM (Curie-type)</v>
      </c>
    </row>
    <row r="11" customFormat="false" ht="13.8" hidden="false" customHeight="false" outlineLevel="0" collapsed="false">
      <c r="A11" s="0" t="s">
        <v>945</v>
      </c>
      <c r="B11" s="0" t="s">
        <v>944</v>
      </c>
      <c r="C11" s="0" t="s">
        <v>498</v>
      </c>
      <c r="D11" s="0" t="n">
        <v>-1.7700036053539</v>
      </c>
      <c r="E11" s="0" t="n">
        <v>0.100471012097277</v>
      </c>
      <c r="F11" s="0" t="n">
        <v>0.4937</v>
      </c>
      <c r="G11" s="0" t="n">
        <v>18.0069833</v>
      </c>
      <c r="H11" s="0" t="s">
        <v>58</v>
      </c>
      <c r="I11" s="2" t="b">
        <f aca="false">TRUE()</f>
        <v>1</v>
      </c>
      <c r="J11" s="0" t="str">
        <f aca="false">IF(AND(CODE(MID(B11,2,1))&gt;=97,CODE(MID(B11,2,1))&lt;=122),LEFT(B11,2),LEFT(B11,1))</f>
        <v>Ca</v>
      </c>
      <c r="K11" s="0" t="n">
        <f aca="false">IF(J11="","",_xlfn.XLOOKUP(TRIM(J11),Metallic_Radius_Table!A:A,Metallic_Radius_Table!B:B))</f>
        <v>1.97</v>
      </c>
      <c r="L11" s="0" t="str">
        <f aca="false">IF(ISNUMBER(SEARCH("La",B11)),"La",
 IF(ISNUMBER(SEARCH("Nd",B11)),"Nd",
 IF(ISNUMBER(SEARCH("Eu",B11)),"Eu",
 IF(ISNUMBER(SEARCH("Gd",B11)),"Gd",""))))</f>
        <v/>
      </c>
      <c r="M11" s="0" t="str">
        <f aca="false">IF(L11="","",_xlfn.XLOOKUP(TRIM(L11),Metallic_Radius_Table!A:A,Metallic_Radius_Table!B:B))</f>
        <v/>
      </c>
      <c r="N11" s="0" t="str">
        <f aca="false">TRIM(LEFT(C11,FIND(",",C11)-1))</f>
        <v>Co</v>
      </c>
      <c r="O11" s="3" t="n">
        <f aca="false">IF(N11="","",_xlfn.XLOOKUP(TRIM(N11),Metallic_Radius_Table!A:A,Metallic_Radius_Table!B:B))</f>
        <v>1.25</v>
      </c>
      <c r="P11" s="0" t="str">
        <f aca="false">TRIM(MID(C11,FIND(",",C11)+1,5))</f>
        <v>Mn</v>
      </c>
      <c r="Q11" s="0" t="n">
        <f aca="false">IF(P11="","",_xlfn.XLOOKUP(TRIM(P11),Metallic_Radius_Table!A:A,Metallic_Radius_Table!B:B))</f>
        <v>1.27</v>
      </c>
      <c r="R11" s="0" t="str">
        <f aca="false">IF(G11&gt;=1,   "Ferromagnetic / Ferrimagnetic",   IF(G11&gt;=0.05,      "Paramagnetic / Weakly magnetic",      "Antiferromagnetic / Diamagnetic"))</f>
        <v>Ferromagnetic / Ferrimagnetic</v>
      </c>
      <c r="U11" s="0" t="str">
        <f aca="false">IF(G11&gt;=1,
   "FM → PM (Curie-type)",
   IF(G11&lt;0.05,
      "AFM → PM (Néel-type)",
      "No long-range magnetic transition"))</f>
        <v>FM → PM (Curie-type)</v>
      </c>
    </row>
    <row r="12" customFormat="false" ht="13.8" hidden="false" customHeight="false" outlineLevel="0" collapsed="false">
      <c r="A12" s="0" t="s">
        <v>946</v>
      </c>
      <c r="B12" s="0" t="s">
        <v>947</v>
      </c>
      <c r="C12" s="0" t="s">
        <v>948</v>
      </c>
      <c r="D12" s="0" t="n">
        <v>-2.23723234052631</v>
      </c>
      <c r="E12" s="0" t="n">
        <v>0.105610427105254</v>
      </c>
      <c r="F12" s="0" t="n">
        <v>0</v>
      </c>
      <c r="G12" s="0" t="n">
        <v>6</v>
      </c>
      <c r="H12" s="0" t="s">
        <v>45</v>
      </c>
      <c r="I12" s="2" t="b">
        <f aca="false">TRUE()</f>
        <v>1</v>
      </c>
      <c r="J12" s="0" t="str">
        <f aca="false">IF(AND(CODE(MID(B12,2,1))&gt;=97,CODE(MID(B12,2,1))&lt;=122),LEFT(B12,2),LEFT(B12,1))</f>
        <v>Ca</v>
      </c>
      <c r="K12" s="0" t="n">
        <f aca="false">IF(J12="","",_xlfn.XLOOKUP(TRIM(J12),Metallic_Radius_Table!A:A,Metallic_Radius_Table!B:B))</f>
        <v>1.97</v>
      </c>
      <c r="L12" s="0" t="str">
        <f aca="false">IF(ISNUMBER(SEARCH("La",B12)),"La",
 IF(ISNUMBER(SEARCH("Nd",B12)),"Nd",
 IF(ISNUMBER(SEARCH("Eu",B12)),"Eu",
 IF(ISNUMBER(SEARCH("Gd",B12)),"Gd",""))))</f>
        <v/>
      </c>
      <c r="M12" s="0" t="str">
        <f aca="false">IF(L12="","",_xlfn.XLOOKUP(TRIM(L12),Metallic_Radius_Table!A:A,Metallic_Radius_Table!B:B))</f>
        <v/>
      </c>
      <c r="N12" s="0" t="str">
        <f aca="false">TRIM(LEFT(C12,FIND(",",C12)-1))</f>
        <v>Ni</v>
      </c>
      <c r="O12" s="3" t="n">
        <f aca="false">IF(N12="","",_xlfn.XLOOKUP(TRIM(N12),Metallic_Radius_Table!A:A,Metallic_Radius_Table!B:B))</f>
        <v>1.24</v>
      </c>
      <c r="P12" s="0" t="str">
        <f aca="false">TRIM(MID(C12,FIND(",",C12)+1,5))</f>
        <v>V</v>
      </c>
      <c r="Q12" s="0" t="n">
        <f aca="false">IF(P12="","",_xlfn.XLOOKUP(TRIM(P12),Metallic_Radius_Table!A:A,Metallic_Radius_Table!B:B))</f>
        <v>1.34</v>
      </c>
      <c r="R12" s="0" t="str">
        <f aca="false">IF(G12&gt;=1,   "Ferromagnetic / Ferrimagnetic",   IF(G12&gt;=0.05,      "Paramagnetic / Weakly magnetic",      "Antiferromagnetic / Diamagnetic"))</f>
        <v>Ferromagnetic / Ferrimagnetic</v>
      </c>
      <c r="U12" s="0" t="str">
        <f aca="false">IF(G12&gt;=1,
   "FM → PM (Curie-type)",
   IF(G12&lt;0.05,
      "AFM → PM (Néel-type)",
      "No long-range magnetic transition"))</f>
        <v>FM → PM (Curie-type)</v>
      </c>
    </row>
    <row r="13" customFormat="false" ht="13.8" hidden="false" customHeight="false" outlineLevel="0" collapsed="false">
      <c r="A13" s="0" t="s">
        <v>949</v>
      </c>
      <c r="B13" s="0" t="s">
        <v>947</v>
      </c>
      <c r="C13" s="0" t="s">
        <v>948</v>
      </c>
      <c r="D13" s="0" t="n">
        <v>-2.15876498421052</v>
      </c>
      <c r="E13" s="0" t="n">
        <v>0.184077783421044</v>
      </c>
      <c r="F13" s="0" t="n">
        <v>0.9981</v>
      </c>
      <c r="G13" s="0" t="n">
        <v>0.6355704</v>
      </c>
      <c r="H13" s="0" t="s">
        <v>58</v>
      </c>
      <c r="I13" s="2" t="b">
        <f aca="false">TRUE()</f>
        <v>1</v>
      </c>
      <c r="J13" s="0" t="str">
        <f aca="false">IF(AND(CODE(MID(B13,2,1))&gt;=97,CODE(MID(B13,2,1))&lt;=122),LEFT(B13,2),LEFT(B13,1))</f>
        <v>Ca</v>
      </c>
      <c r="K13" s="0" t="n">
        <f aca="false">IF(J13="","",_xlfn.XLOOKUP(TRIM(J13),Metallic_Radius_Table!A:A,Metallic_Radius_Table!B:B))</f>
        <v>1.97</v>
      </c>
      <c r="L13" s="0" t="str">
        <f aca="false">IF(ISNUMBER(SEARCH("La",B13)),"La",
 IF(ISNUMBER(SEARCH("Nd",B13)),"Nd",
 IF(ISNUMBER(SEARCH("Eu",B13)),"Eu",
 IF(ISNUMBER(SEARCH("Gd",B13)),"Gd",""))))</f>
        <v/>
      </c>
      <c r="M13" s="0" t="str">
        <f aca="false">IF(L13="","",_xlfn.XLOOKUP(TRIM(L13),Metallic_Radius_Table!A:A,Metallic_Radius_Table!B:B))</f>
        <v/>
      </c>
      <c r="N13" s="0" t="str">
        <f aca="false">TRIM(LEFT(C13,FIND(",",C13)-1))</f>
        <v>Ni</v>
      </c>
      <c r="O13" s="3" t="n">
        <f aca="false">IF(N13="","",_xlfn.XLOOKUP(TRIM(N13),Metallic_Radius_Table!A:A,Metallic_Radius_Table!B:B))</f>
        <v>1.24</v>
      </c>
      <c r="P13" s="0" t="str">
        <f aca="false">TRIM(MID(C13,FIND(",",C13)+1,5))</f>
        <v>V</v>
      </c>
      <c r="Q13" s="0" t="n">
        <f aca="false">IF(P13="","",_xlfn.XLOOKUP(TRIM(P13),Metallic_Radius_Table!A:A,Metallic_Radius_Table!B:B))</f>
        <v>1.34</v>
      </c>
      <c r="R13" s="0" t="str">
        <f aca="false">IF(G13&gt;=1,   "Ferromagnetic / Ferrimagnetic",   IF(G13&gt;=0.05,      "Paramagnetic / Weakly magnetic",      "Antiferromagnetic / Diamagnetic"))</f>
        <v>Paramagnetic / Weakly magnetic</v>
      </c>
      <c r="U13" s="0" t="str">
        <f aca="false">IF(G13&gt;=1,
   "FM → PM (Curie-type)",
   IF(G13&lt;0.05,
      "AFM → PM (Néel-type)",
      "No long-range magnetic transition"))</f>
        <v>No long-range magnetic transition</v>
      </c>
    </row>
    <row r="14" customFormat="false" ht="13.8" hidden="false" customHeight="false" outlineLevel="0" collapsed="false">
      <c r="A14" s="0" t="s">
        <v>950</v>
      </c>
      <c r="B14" s="0" t="s">
        <v>951</v>
      </c>
      <c r="C14" s="0" t="s">
        <v>417</v>
      </c>
      <c r="D14" s="0" t="n">
        <v>-2.6317581425</v>
      </c>
      <c r="E14" s="0" t="n">
        <v>0.032050666022722</v>
      </c>
      <c r="F14" s="0" t="n">
        <v>0</v>
      </c>
      <c r="G14" s="0" t="n">
        <v>5.9979503</v>
      </c>
      <c r="H14" s="0" t="s">
        <v>952</v>
      </c>
      <c r="I14" s="2" t="b">
        <f aca="false">TRUE()</f>
        <v>1</v>
      </c>
      <c r="J14" s="0" t="str">
        <f aca="false">IF(AND(CODE(MID(B14,2,1))&gt;=97,CODE(MID(B14,2,1))&lt;=122),LEFT(B14,2),LEFT(B14,1))</f>
        <v>Ca</v>
      </c>
      <c r="K14" s="0" t="n">
        <f aca="false">IF(J14="","",_xlfn.XLOOKUP(TRIM(J14),Metallic_Radius_Table!A:A,Metallic_Radius_Table!B:B))</f>
        <v>1.97</v>
      </c>
      <c r="L14" s="0" t="str">
        <f aca="false">IF(ISNUMBER(SEARCH("La",B14)),"La",
 IF(ISNUMBER(SEARCH("Nd",B14)),"Nd",
 IF(ISNUMBER(SEARCH("Eu",B14)),"Eu",
 IF(ISNUMBER(SEARCH("Gd",B14)),"Gd",""))))</f>
        <v/>
      </c>
      <c r="M14" s="0" t="str">
        <f aca="false">IF(L14="","",_xlfn.XLOOKUP(TRIM(L14),Metallic_Radius_Table!A:A,Metallic_Radius_Table!B:B))</f>
        <v/>
      </c>
      <c r="N14" s="0" t="str">
        <f aca="false">TRIM(LEFT(C14,FIND(",",C14)-1))</f>
        <v>Ni</v>
      </c>
      <c r="O14" s="3" t="n">
        <f aca="false">IF(N14="","",_xlfn.XLOOKUP(TRIM(N14),Metallic_Radius_Table!A:A,Metallic_Radius_Table!B:B))</f>
        <v>1.24</v>
      </c>
      <c r="P14" s="0" t="str">
        <f aca="false">TRIM(MID(C14,FIND(",",C14)+1,5))</f>
        <v>Ir</v>
      </c>
      <c r="Q14" s="0" t="n">
        <f aca="false">IF(P14="","",_xlfn.XLOOKUP(TRIM(P14),Metallic_Radius_Table!A:A,Metallic_Radius_Table!B:B))</f>
        <v>1.36</v>
      </c>
      <c r="R14" s="0" t="str">
        <f aca="false">IF(G14&gt;=1,   "Ferromagnetic / Ferrimagnetic",   IF(G14&gt;=0.05,      "Paramagnetic / Weakly magnetic",      "Antiferromagnetic / Diamagnetic"))</f>
        <v>Ferromagnetic / Ferrimagnetic</v>
      </c>
      <c r="U14" s="0" t="str">
        <f aca="false">IF(G14&gt;=1,
   "FM → PM (Curie-type)",
   IF(G14&lt;0.05,
      "AFM → PM (Néel-type)",
      "No long-range magnetic transition"))</f>
        <v>FM → PM (Curie-type)</v>
      </c>
    </row>
    <row r="15" customFormat="false" ht="13.8" hidden="false" customHeight="false" outlineLevel="0" collapsed="false">
      <c r="A15" s="0" t="s">
        <v>953</v>
      </c>
      <c r="B15" s="0" t="s">
        <v>951</v>
      </c>
      <c r="C15" s="0" t="s">
        <v>417</v>
      </c>
      <c r="D15" s="0" t="n">
        <v>-2.63117665704545</v>
      </c>
      <c r="E15" s="0" t="n">
        <v>0.032632151477268</v>
      </c>
      <c r="F15" s="0" t="n">
        <v>0</v>
      </c>
      <c r="G15" s="0" t="n">
        <v>5.9956411</v>
      </c>
      <c r="H15" s="0" t="s">
        <v>45</v>
      </c>
      <c r="I15" s="2" t="b">
        <f aca="false">TRUE()</f>
        <v>1</v>
      </c>
      <c r="J15" s="0" t="str">
        <f aca="false">IF(AND(CODE(MID(B15,2,1))&gt;=97,CODE(MID(B15,2,1))&lt;=122),LEFT(B15,2),LEFT(B15,1))</f>
        <v>Ca</v>
      </c>
      <c r="K15" s="0" t="n">
        <f aca="false">IF(J15="","",_xlfn.XLOOKUP(TRIM(J15),Metallic_Radius_Table!A:A,Metallic_Radius_Table!B:B))</f>
        <v>1.97</v>
      </c>
      <c r="L15" s="0" t="str">
        <f aca="false">IF(ISNUMBER(SEARCH("La",B15)),"La",
 IF(ISNUMBER(SEARCH("Nd",B15)),"Nd",
 IF(ISNUMBER(SEARCH("Eu",B15)),"Eu",
 IF(ISNUMBER(SEARCH("Gd",B15)),"Gd",""))))</f>
        <v/>
      </c>
      <c r="M15" s="0" t="str">
        <f aca="false">IF(L15="","",_xlfn.XLOOKUP(TRIM(L15),Metallic_Radius_Table!A:A,Metallic_Radius_Table!B:B))</f>
        <v/>
      </c>
      <c r="N15" s="0" t="str">
        <f aca="false">TRIM(LEFT(C15,FIND(",",C15)-1))</f>
        <v>Ni</v>
      </c>
      <c r="O15" s="3" t="n">
        <f aca="false">IF(N15="","",_xlfn.XLOOKUP(TRIM(N15),Metallic_Radius_Table!A:A,Metallic_Radius_Table!B:B))</f>
        <v>1.24</v>
      </c>
      <c r="P15" s="0" t="str">
        <f aca="false">TRIM(MID(C15,FIND(",",C15)+1,5))</f>
        <v>Ir</v>
      </c>
      <c r="Q15" s="0" t="n">
        <f aca="false">IF(P15="","",_xlfn.XLOOKUP(TRIM(P15),Metallic_Radius_Table!A:A,Metallic_Radius_Table!B:B))</f>
        <v>1.36</v>
      </c>
      <c r="R15" s="0" t="str">
        <f aca="false">IF(G15&gt;=1,   "Ferromagnetic / Ferrimagnetic",   IF(G15&gt;=0.05,      "Paramagnetic / Weakly magnetic",      "Antiferromagnetic / Diamagnetic"))</f>
        <v>Ferromagnetic / Ferrimagnetic</v>
      </c>
      <c r="U15" s="0" t="str">
        <f aca="false">IF(G15&gt;=1,
   "FM → PM (Curie-type)",
   IF(G15&lt;0.05,
      "AFM → PM (Néel-type)",
      "No long-range magnetic transition"))</f>
        <v>FM → PM (Curie-type)</v>
      </c>
    </row>
    <row r="16" customFormat="false" ht="13.8" hidden="false" customHeight="false" outlineLevel="0" collapsed="false">
      <c r="A16" s="0" t="s">
        <v>954</v>
      </c>
      <c r="B16" s="0" t="s">
        <v>955</v>
      </c>
      <c r="C16" s="0" t="s">
        <v>35</v>
      </c>
      <c r="D16" s="0" t="n">
        <v>-2.36136936736842</v>
      </c>
      <c r="E16" s="0" t="n">
        <v>0.067174775358851</v>
      </c>
      <c r="F16" s="0" t="n">
        <v>0.9476</v>
      </c>
      <c r="G16" s="0" t="n">
        <v>7.9990851</v>
      </c>
      <c r="H16" s="0" t="s">
        <v>58</v>
      </c>
      <c r="I16" s="2" t="b">
        <f aca="false">TRUE()</f>
        <v>1</v>
      </c>
      <c r="J16" s="0" t="str">
        <f aca="false">IF(AND(CODE(MID(B16,2,1))&gt;=97,CODE(MID(B16,2,1))&lt;=122),LEFT(B16,2),LEFT(B16,1))</f>
        <v>Ca</v>
      </c>
      <c r="K16" s="0" t="n">
        <f aca="false">IF(J16="","",_xlfn.XLOOKUP(TRIM(J16),Metallic_Radius_Table!A:A,Metallic_Radius_Table!B:B))</f>
        <v>1.97</v>
      </c>
      <c r="L16" s="0" t="str">
        <f aca="false">IF(ISNUMBER(SEARCH("La",B16)),"La",
 IF(ISNUMBER(SEARCH("Nd",B16)),"Nd",
 IF(ISNUMBER(SEARCH("Eu",B16)),"Eu",
 IF(ISNUMBER(SEARCH("Gd",B16)),"Gd",""))))</f>
        <v/>
      </c>
      <c r="M16" s="0" t="str">
        <f aca="false">IF(L16="","",_xlfn.XLOOKUP(TRIM(L16),Metallic_Radius_Table!A:A,Metallic_Radius_Table!B:B))</f>
        <v/>
      </c>
      <c r="N16" s="0" t="str">
        <f aca="false">TRIM(LEFT(C16,FIND(",",C16)-1))</f>
        <v>Co</v>
      </c>
      <c r="O16" s="3" t="n">
        <f aca="false">IF(N16="","",_xlfn.XLOOKUP(TRIM(N16),Metallic_Radius_Table!A:A,Metallic_Radius_Table!B:B))</f>
        <v>1.25</v>
      </c>
      <c r="P16" s="0" t="str">
        <f aca="false">TRIM(MID(C16,FIND(",",C16)+1,5))</f>
        <v>W</v>
      </c>
      <c r="Q16" s="0" t="n">
        <f aca="false">IF(P16="","",_xlfn.XLOOKUP(TRIM(P16),Metallic_Radius_Table!A:A,Metallic_Radius_Table!B:B))</f>
        <v>1.41</v>
      </c>
      <c r="R16" s="0" t="str">
        <f aca="false">IF(G16&gt;=1,   "Ferromagnetic / Ferrimagnetic",   IF(G16&gt;=0.05,      "Paramagnetic / Weakly magnetic",      "Antiferromagnetic / Diamagnetic"))</f>
        <v>Ferromagnetic / Ferrimagnetic</v>
      </c>
      <c r="U16" s="0" t="str">
        <f aca="false">IF(G16&gt;=1,
   "FM → PM (Curie-type)",
   IF(G16&lt;0.05,
      "AFM → PM (Néel-type)",
      "No long-range magnetic transition"))</f>
        <v>FM → PM (Curie-type)</v>
      </c>
    </row>
    <row r="17" customFormat="false" ht="13.8" hidden="false" customHeight="false" outlineLevel="0" collapsed="false">
      <c r="A17" s="0" t="s">
        <v>956</v>
      </c>
      <c r="B17" s="0" t="s">
        <v>957</v>
      </c>
      <c r="C17" s="0" t="s">
        <v>958</v>
      </c>
      <c r="D17" s="0" t="n">
        <v>-1.99886017486486</v>
      </c>
      <c r="E17" s="0" t="n">
        <v>0.143748820675693</v>
      </c>
      <c r="F17" s="0" t="n">
        <v>0.552599999999999</v>
      </c>
      <c r="G17" s="0" t="n">
        <v>21.9996507</v>
      </c>
      <c r="H17" s="0" t="s">
        <v>54</v>
      </c>
      <c r="I17" s="2" t="b">
        <f aca="false">TRUE()</f>
        <v>1</v>
      </c>
      <c r="J17" s="0" t="str">
        <f aca="false">IF(AND(CODE(MID(B17,2,1))&gt;=97,CODE(MID(B17,2,1))&lt;=122),LEFT(B17,2),LEFT(B17,1))</f>
        <v>Ca</v>
      </c>
      <c r="K17" s="0" t="n">
        <f aca="false">IF(J17="","",_xlfn.XLOOKUP(TRIM(J17),Metallic_Radius_Table!A:A,Metallic_Radius_Table!B:B))</f>
        <v>1.97</v>
      </c>
      <c r="L17" s="0" t="str">
        <f aca="false">IF(ISNUMBER(SEARCH("La",B17)),"La",
 IF(ISNUMBER(SEARCH("Nd",B17)),"Nd",
 IF(ISNUMBER(SEARCH("Eu",B17)),"Eu",
 IF(ISNUMBER(SEARCH("Gd",B17)),"Gd",""))))</f>
        <v/>
      </c>
      <c r="M17" s="0" t="str">
        <f aca="false">IF(L17="","",_xlfn.XLOOKUP(TRIM(L17),Metallic_Radius_Table!A:A,Metallic_Radius_Table!B:B))</f>
        <v/>
      </c>
      <c r="N17" s="0" t="str">
        <f aca="false">TRIM(LEFT(C17,FIND(",",C17)-1))</f>
        <v>Fe</v>
      </c>
      <c r="O17" s="3" t="n">
        <f aca="false">IF(N17="","",_xlfn.XLOOKUP(TRIM(N17),Metallic_Radius_Table!A:A,Metallic_Radius_Table!B:B))</f>
        <v>1.26</v>
      </c>
      <c r="P17" s="0" t="str">
        <f aca="false">TRIM(MID(C17,FIND(",",C17)+1,5))</f>
        <v>Cr</v>
      </c>
      <c r="Q17" s="0" t="n">
        <f aca="false">IF(P17="","",_xlfn.XLOOKUP(TRIM(P17),Metallic_Radius_Table!A:A,Metallic_Radius_Table!B:B))</f>
        <v>1.28</v>
      </c>
      <c r="R17" s="0" t="str">
        <f aca="false">IF(G17&gt;=1,   "Ferromagnetic / Ferrimagnetic",   IF(G17&gt;=0.05,      "Paramagnetic / Weakly magnetic",      "Antiferromagnetic / Diamagnetic"))</f>
        <v>Ferromagnetic / Ferrimagnetic</v>
      </c>
      <c r="U17" s="0" t="str">
        <f aca="false">IF(G17&gt;=1,
   "FM → PM (Curie-type)",
   IF(G17&lt;0.05,
      "AFM → PM (Néel-type)",
      "No long-range magnetic transition"))</f>
        <v>FM → PM (Curie-type)</v>
      </c>
    </row>
    <row r="18" customFormat="false" ht="13.8" hidden="false" customHeight="false" outlineLevel="0" collapsed="false">
      <c r="A18" s="0" t="s">
        <v>959</v>
      </c>
      <c r="B18" s="0" t="s">
        <v>960</v>
      </c>
      <c r="C18" s="0" t="s">
        <v>42</v>
      </c>
      <c r="D18" s="0" t="n">
        <v>-2.39817102789473</v>
      </c>
      <c r="E18" s="0" t="n">
        <v>0.075308535723683</v>
      </c>
      <c r="F18" s="0" t="n">
        <v>0</v>
      </c>
      <c r="G18" s="0" t="n">
        <v>10.0000001</v>
      </c>
      <c r="H18" s="0" t="s">
        <v>58</v>
      </c>
      <c r="I18" s="2" t="b">
        <f aca="false">TRUE()</f>
        <v>1</v>
      </c>
      <c r="J18" s="0" t="str">
        <f aca="false">IF(AND(CODE(MID(B18,2,1))&gt;=97,CODE(MID(B18,2,1))&lt;=122),LEFT(B18,2),LEFT(B18,1))</f>
        <v>Ca</v>
      </c>
      <c r="K18" s="0" t="n">
        <f aca="false">IF(J18="","",_xlfn.XLOOKUP(TRIM(J18),Metallic_Radius_Table!A:A,Metallic_Radius_Table!B:B))</f>
        <v>1.97</v>
      </c>
      <c r="L18" s="0" t="str">
        <f aca="false">IF(ISNUMBER(SEARCH("La",B18)),"La",
 IF(ISNUMBER(SEARCH("Nd",B18)),"Nd",
 IF(ISNUMBER(SEARCH("Eu",B18)),"Eu",
 IF(ISNUMBER(SEARCH("Gd",B18)),"Gd",""))))</f>
        <v/>
      </c>
      <c r="M18" s="0" t="str">
        <f aca="false">IF(L18="","",_xlfn.XLOOKUP(TRIM(L18),Metallic_Radius_Table!A:A,Metallic_Radius_Table!B:B))</f>
        <v/>
      </c>
      <c r="N18" s="0" t="str">
        <f aca="false">TRIM(LEFT(C18,FIND(",",C18)-1))</f>
        <v>Fe</v>
      </c>
      <c r="O18" s="3" t="n">
        <f aca="false">IF(N18="","",_xlfn.XLOOKUP(TRIM(N18),Metallic_Radius_Table!A:A,Metallic_Radius_Table!B:B))</f>
        <v>1.26</v>
      </c>
      <c r="P18" s="0" t="str">
        <f aca="false">TRIM(MID(C18,FIND(",",C18)+1,5))</f>
        <v>Mo</v>
      </c>
      <c r="Q18" s="0" t="n">
        <f aca="false">IF(P18="","",_xlfn.XLOOKUP(TRIM(P18),Metallic_Radius_Table!A:A,Metallic_Radius_Table!B:B))</f>
        <v>1.39</v>
      </c>
      <c r="R18" s="0" t="str">
        <f aca="false">IF(G18&gt;=1,   "Ferromagnetic / Ferrimagnetic",   IF(G18&gt;=0.05,      "Paramagnetic / Weakly magnetic",      "Antiferromagnetic / Diamagnetic"))</f>
        <v>Ferromagnetic / Ferrimagnetic</v>
      </c>
      <c r="U18" s="0" t="str">
        <f aca="false">IF(G18&gt;=1,
   "FM → PM (Curie-type)",
   IF(G18&lt;0.05,
      "AFM → PM (Néel-type)",
      "No long-range magnetic transition"))</f>
        <v>FM → PM (Curie-type)</v>
      </c>
    </row>
    <row r="19" customFormat="false" ht="13.8" hidden="false" customHeight="false" outlineLevel="0" collapsed="false">
      <c r="A19" s="0" t="s">
        <v>961</v>
      </c>
      <c r="B19" s="0" t="s">
        <v>962</v>
      </c>
      <c r="C19" s="0" t="s">
        <v>50</v>
      </c>
      <c r="D19" s="0" t="n">
        <v>-2.43083728710526</v>
      </c>
      <c r="E19" s="0" t="n">
        <v>0.0263900561579</v>
      </c>
      <c r="F19" s="0" t="n">
        <v>1.3365</v>
      </c>
      <c r="G19" s="0" t="n">
        <v>7.9978684</v>
      </c>
      <c r="H19" s="0" t="s">
        <v>58</v>
      </c>
      <c r="I19" s="2" t="b">
        <f aca="false">TRUE()</f>
        <v>1</v>
      </c>
      <c r="J19" s="0" t="str">
        <f aca="false">IF(AND(CODE(MID(B19,2,1))&gt;=97,CODE(MID(B19,2,1))&lt;=122),LEFT(B19,2),LEFT(B19,1))</f>
        <v>Ca</v>
      </c>
      <c r="K19" s="0" t="n">
        <f aca="false">IF(J19="","",_xlfn.XLOOKUP(TRIM(J19),Metallic_Radius_Table!A:A,Metallic_Radius_Table!B:B))</f>
        <v>1.97</v>
      </c>
      <c r="L19" s="0" t="str">
        <f aca="false">IF(ISNUMBER(SEARCH("La",B19)),"La",
 IF(ISNUMBER(SEARCH("Nd",B19)),"Nd",
 IF(ISNUMBER(SEARCH("Eu",B19)),"Eu",
 IF(ISNUMBER(SEARCH("Gd",B19)),"Gd",""))))</f>
        <v/>
      </c>
      <c r="M19" s="0" t="str">
        <f aca="false">IF(L19="","",_xlfn.XLOOKUP(TRIM(L19),Metallic_Radius_Table!A:A,Metallic_Radius_Table!B:B))</f>
        <v/>
      </c>
      <c r="N19" s="0" t="str">
        <f aca="false">TRIM(LEFT(C19,FIND(",",C19)-1))</f>
        <v>Re</v>
      </c>
      <c r="O19" s="3" t="n">
        <f aca="false">IF(N19="","",_xlfn.XLOOKUP(TRIM(N19),Metallic_Radius_Table!A:A,Metallic_Radius_Table!B:B))</f>
        <v>1.37</v>
      </c>
      <c r="P19" s="0" t="str">
        <f aca="false">TRIM(MID(C19,FIND(",",C19)+1,5))</f>
        <v>Fe</v>
      </c>
      <c r="Q19" s="0" t="n">
        <f aca="false">IF(P19="","",_xlfn.XLOOKUP(TRIM(P19),Metallic_Radius_Table!A:A,Metallic_Radius_Table!B:B))</f>
        <v>1.26</v>
      </c>
      <c r="R19" s="0" t="str">
        <f aca="false">IF(G19&gt;=1,   "Ferromagnetic / Ferrimagnetic",   IF(G19&gt;=0.05,      "Paramagnetic / Weakly magnetic",      "Antiferromagnetic / Diamagnetic"))</f>
        <v>Ferromagnetic / Ferrimagnetic</v>
      </c>
      <c r="U19" s="0" t="str">
        <f aca="false">IF(G19&gt;=1,
   "FM → PM (Curie-type)",
   IF(G19&lt;0.05,
      "AFM → PM (Néel-type)",
      "No long-range magnetic transition"))</f>
        <v>FM → PM (Curie-type)</v>
      </c>
    </row>
    <row r="20" customFormat="false" ht="13.8" hidden="false" customHeight="false" outlineLevel="0" collapsed="false">
      <c r="A20" s="0" t="s">
        <v>963</v>
      </c>
      <c r="B20" s="0" t="s">
        <v>964</v>
      </c>
      <c r="C20" s="0" t="s">
        <v>495</v>
      </c>
      <c r="D20" s="0" t="n">
        <v>-1.72229906315789</v>
      </c>
      <c r="E20" s="0" t="n">
        <v>0.193876514473688</v>
      </c>
      <c r="F20" s="0" t="n">
        <v>0</v>
      </c>
      <c r="G20" s="0" t="n">
        <v>3.98786119999999</v>
      </c>
      <c r="H20" s="0" t="s">
        <v>965</v>
      </c>
      <c r="I20" s="2" t="b">
        <f aca="false">TRUE()</f>
        <v>1</v>
      </c>
      <c r="J20" s="0" t="str">
        <f aca="false">IF(AND(CODE(MID(B20,2,1))&gt;=97,CODE(MID(B20,2,1))&lt;=122),LEFT(B20,2),LEFT(B20,1))</f>
        <v>Ca</v>
      </c>
      <c r="K20" s="0" t="n">
        <f aca="false">IF(J20="","",_xlfn.XLOOKUP(TRIM(J20),Metallic_Radius_Table!A:A,Metallic_Radius_Table!B:B))</f>
        <v>1.97</v>
      </c>
      <c r="L20" s="0" t="str">
        <f aca="false">IF(ISNUMBER(SEARCH("La",B20)),"La",
 IF(ISNUMBER(SEARCH("Nd",B20)),"Nd",
 IF(ISNUMBER(SEARCH("Eu",B20)),"Eu",
 IF(ISNUMBER(SEARCH("Gd",B20)),"Gd",""))))</f>
        <v/>
      </c>
      <c r="M20" s="0" t="str">
        <f aca="false">IF(L20="","",_xlfn.XLOOKUP(TRIM(L20),Metallic_Radius_Table!A:A,Metallic_Radius_Table!B:B))</f>
        <v/>
      </c>
      <c r="N20" s="0" t="str">
        <f aca="false">TRIM(LEFT(C20,FIND(",",C20)-1))</f>
        <v>Fe</v>
      </c>
      <c r="O20" s="3" t="n">
        <f aca="false">IF(N20="","",_xlfn.XLOOKUP(TRIM(N20),Metallic_Radius_Table!A:A,Metallic_Radius_Table!B:B))</f>
        <v>1.26</v>
      </c>
      <c r="P20" s="0" t="str">
        <f aca="false">TRIM(MID(C20,FIND(",",C20)+1,5))</f>
        <v>Rh</v>
      </c>
      <c r="Q20" s="0" t="n">
        <f aca="false">IF(P20="","",_xlfn.XLOOKUP(TRIM(P20),Metallic_Radius_Table!A:A,Metallic_Radius_Table!B:B))</f>
        <v>1.34</v>
      </c>
      <c r="R20" s="0" t="str">
        <f aca="false">IF(G20&gt;=1,   "Ferromagnetic / Ferrimagnetic",   IF(G20&gt;=0.05,      "Paramagnetic / Weakly magnetic",      "Antiferromagnetic / Diamagnetic"))</f>
        <v>Ferromagnetic / Ferrimagnetic</v>
      </c>
      <c r="U20" s="0" t="str">
        <f aca="false">IF(G20&gt;=1,
   "FM → PM (Curie-type)",
   IF(G20&lt;0.05,
      "AFM → PM (Néel-type)",
      "No long-range magnetic transition"))</f>
        <v>FM → PM (Curie-type)</v>
      </c>
    </row>
    <row r="21" customFormat="false" ht="13.8" hidden="false" customHeight="false" outlineLevel="0" collapsed="false">
      <c r="A21" s="0" t="s">
        <v>966</v>
      </c>
      <c r="B21" s="0" t="s">
        <v>967</v>
      </c>
      <c r="C21" s="0" t="s">
        <v>53</v>
      </c>
      <c r="D21" s="0" t="n">
        <v>-2.51305384315789</v>
      </c>
      <c r="E21" s="0" t="n">
        <v>0.038281473157898</v>
      </c>
      <c r="F21" s="0" t="n">
        <v>0</v>
      </c>
      <c r="G21" s="4" t="n">
        <v>2.1E-006</v>
      </c>
      <c r="H21" s="0" t="s">
        <v>968</v>
      </c>
      <c r="I21" s="2" t="b">
        <f aca="false">TRUE()</f>
        <v>1</v>
      </c>
      <c r="J21" s="0" t="str">
        <f aca="false">IF(AND(CODE(MID(B21,2,1))&gt;=97,CODE(MID(B21,2,1))&lt;=122),LEFT(B21,2),LEFT(B21,1))</f>
        <v>Ca</v>
      </c>
      <c r="K21" s="0" t="n">
        <f aca="false">IF(J21="","",_xlfn.XLOOKUP(TRIM(J21),Metallic_Radius_Table!A:A,Metallic_Radius_Table!B:B))</f>
        <v>1.97</v>
      </c>
      <c r="L21" s="0" t="str">
        <f aca="false">IF(ISNUMBER(SEARCH("La",B21)),"La",
 IF(ISNUMBER(SEARCH("Nd",B21)),"Nd",
 IF(ISNUMBER(SEARCH("Eu",B21)),"Eu",
 IF(ISNUMBER(SEARCH("Gd",B21)),"Gd",""))))</f>
        <v/>
      </c>
      <c r="M21" s="0" t="str">
        <f aca="false">IF(L21="","",_xlfn.XLOOKUP(TRIM(L21),Metallic_Radius_Table!A:A,Metallic_Radius_Table!B:B))</f>
        <v/>
      </c>
      <c r="N21" s="0" t="str">
        <f aca="false">TRIM(LEFT(C21,FIND(",",C21)-1))</f>
        <v>Fe</v>
      </c>
      <c r="O21" s="3" t="n">
        <f aca="false">IF(N21="","",_xlfn.XLOOKUP(TRIM(N21),Metallic_Radius_Table!A:A,Metallic_Radius_Table!B:B))</f>
        <v>1.26</v>
      </c>
      <c r="P21" s="0" t="str">
        <f aca="false">TRIM(MID(C21,FIND(",",C21)+1,5))</f>
        <v>W</v>
      </c>
      <c r="Q21" s="0" t="n">
        <f aca="false">IF(P21="","",_xlfn.XLOOKUP(TRIM(P21),Metallic_Radius_Table!A:A,Metallic_Radius_Table!B:B))</f>
        <v>1.41</v>
      </c>
      <c r="R21" s="0" t="str">
        <f aca="false">IF(G21&gt;=1,   "Ferromagnetic / Ferrimagnetic",   IF(G21&gt;=0.05,      "Paramagnetic / Weakly magnetic",      "Antiferromagnetic / Diamagnetic"))</f>
        <v>Antiferromagnetic / Diamagnetic</v>
      </c>
      <c r="U21" s="0" t="str">
        <f aca="false">IF(G21&gt;=1,
   "FM → PM (Curie-type)",
   IF(G21&lt;0.05,
      "AFM → PM (Néel-type)",
      "No long-range magnetic transition"))</f>
        <v>AFM → PM (Néel-type)</v>
      </c>
    </row>
    <row r="22" customFormat="false" ht="13.8" hidden="false" customHeight="false" outlineLevel="0" collapsed="false">
      <c r="A22" s="0" t="s">
        <v>969</v>
      </c>
      <c r="B22" s="0" t="s">
        <v>967</v>
      </c>
      <c r="C22" s="0" t="s">
        <v>53</v>
      </c>
      <c r="D22" s="0" t="n">
        <v>-2.46221469947368</v>
      </c>
      <c r="E22" s="0" t="n">
        <v>0.089120616842107</v>
      </c>
      <c r="F22" s="0" t="n">
        <v>1.7685</v>
      </c>
      <c r="G22" s="0" t="n">
        <v>10.0000838</v>
      </c>
      <c r="H22" s="0" t="s">
        <v>938</v>
      </c>
      <c r="I22" s="2" t="b">
        <f aca="false">TRUE()</f>
        <v>1</v>
      </c>
      <c r="J22" s="0" t="str">
        <f aca="false">IF(AND(CODE(MID(B22,2,1))&gt;=97,CODE(MID(B22,2,1))&lt;=122),LEFT(B22,2),LEFT(B22,1))</f>
        <v>Ca</v>
      </c>
      <c r="K22" s="0" t="n">
        <f aca="false">IF(J22="","",_xlfn.XLOOKUP(TRIM(J22),Metallic_Radius_Table!A:A,Metallic_Radius_Table!B:B))</f>
        <v>1.97</v>
      </c>
      <c r="L22" s="0" t="str">
        <f aca="false">IF(ISNUMBER(SEARCH("La",B22)),"La",
 IF(ISNUMBER(SEARCH("Nd",B22)),"Nd",
 IF(ISNUMBER(SEARCH("Eu",B22)),"Eu",
 IF(ISNUMBER(SEARCH("Gd",B22)),"Gd",""))))</f>
        <v/>
      </c>
      <c r="M22" s="0" t="str">
        <f aca="false">IF(L22="","",_xlfn.XLOOKUP(TRIM(L22),Metallic_Radius_Table!A:A,Metallic_Radius_Table!B:B))</f>
        <v/>
      </c>
      <c r="N22" s="0" t="str">
        <f aca="false">TRIM(LEFT(C22,FIND(",",C22)-1))</f>
        <v>Fe</v>
      </c>
      <c r="O22" s="3" t="n">
        <f aca="false">IF(N22="","",_xlfn.XLOOKUP(TRIM(N22),Metallic_Radius_Table!A:A,Metallic_Radius_Table!B:B))</f>
        <v>1.26</v>
      </c>
      <c r="P22" s="0" t="str">
        <f aca="false">TRIM(MID(C22,FIND(",",C22)+1,5))</f>
        <v>W</v>
      </c>
      <c r="Q22" s="0" t="n">
        <f aca="false">IF(P22="","",_xlfn.XLOOKUP(TRIM(P22),Metallic_Radius_Table!A:A,Metallic_Radius_Table!B:B))</f>
        <v>1.41</v>
      </c>
      <c r="R22" s="0" t="str">
        <f aca="false">IF(G22&gt;=1,   "Ferromagnetic / Ferrimagnetic",   IF(G22&gt;=0.05,      "Paramagnetic / Weakly magnetic",      "Antiferromagnetic / Diamagnetic"))</f>
        <v>Ferromagnetic / Ferrimagnetic</v>
      </c>
      <c r="U22" s="0" t="str">
        <f aca="false">IF(G22&gt;=1,
   "FM → PM (Curie-type)",
   IF(G22&lt;0.05,
      "AFM → PM (Néel-type)",
      "No long-range magnetic transition"))</f>
        <v>FM → PM (Curie-type)</v>
      </c>
    </row>
    <row r="23" customFormat="false" ht="13.8" hidden="false" customHeight="false" outlineLevel="0" collapsed="false">
      <c r="A23" s="0" t="s">
        <v>970</v>
      </c>
      <c r="B23" s="0" t="s">
        <v>971</v>
      </c>
      <c r="C23" s="0" t="s">
        <v>42</v>
      </c>
      <c r="D23" s="0" t="n">
        <v>-2.45237965274999</v>
      </c>
      <c r="E23" s="0" t="n">
        <v>0.191705345374995</v>
      </c>
      <c r="F23" s="0" t="n">
        <v>0.750099999999999</v>
      </c>
      <c r="G23" s="0" t="n">
        <v>13.0000968</v>
      </c>
      <c r="H23" s="0" t="s">
        <v>58</v>
      </c>
      <c r="I23" s="2" t="b">
        <f aca="false">TRUE()</f>
        <v>1</v>
      </c>
      <c r="J23" s="0" t="str">
        <f aca="false">IF(AND(CODE(MID(B23,2,1))&gt;=97,CODE(MID(B23,2,1))&lt;=122),LEFT(B23,2),LEFT(B23,1))</f>
        <v>Ca</v>
      </c>
      <c r="K23" s="0" t="n">
        <f aca="false">IF(J23="","",_xlfn.XLOOKUP(TRIM(J23),Metallic_Radius_Table!A:A,Metallic_Radius_Table!B:B))</f>
        <v>1.97</v>
      </c>
      <c r="L23" s="0" t="str">
        <f aca="false">IF(ISNUMBER(SEARCH("La",B23)),"La",
 IF(ISNUMBER(SEARCH("Nd",B23)),"Nd",
 IF(ISNUMBER(SEARCH("Eu",B23)),"Eu",
 IF(ISNUMBER(SEARCH("Gd",B23)),"Gd",""))))</f>
        <v>La</v>
      </c>
      <c r="M23" s="0" t="n">
        <f aca="false">IF(L23="","",_xlfn.XLOOKUP(TRIM(L23),Metallic_Radius_Table!A:A,Metallic_Radius_Table!B:B))</f>
        <v>1.87</v>
      </c>
      <c r="N23" s="0" t="str">
        <f aca="false">TRIM(LEFT(C23,FIND(",",C23)-1))</f>
        <v>Fe</v>
      </c>
      <c r="O23" s="3" t="n">
        <f aca="false">IF(N23="","",_xlfn.XLOOKUP(TRIM(N23),Metallic_Radius_Table!A:A,Metallic_Radius_Table!B:B))</f>
        <v>1.26</v>
      </c>
      <c r="P23" s="0" t="str">
        <f aca="false">TRIM(MID(C23,FIND(",",C23)+1,5))</f>
        <v>Mo</v>
      </c>
      <c r="Q23" s="0" t="n">
        <f aca="false">IF(P23="","",_xlfn.XLOOKUP(TRIM(P23),Metallic_Radius_Table!A:A,Metallic_Radius_Table!B:B))</f>
        <v>1.39</v>
      </c>
      <c r="R23" s="0" t="str">
        <f aca="false">IF(G23&gt;=1,   "Ferromagnetic / Ferrimagnetic",   IF(G23&gt;=0.05,      "Paramagnetic / Weakly magnetic",      "Antiferromagnetic / Diamagnetic"))</f>
        <v>Ferromagnetic / Ferrimagnetic</v>
      </c>
      <c r="U23" s="0" t="str">
        <f aca="false">IF(G23&gt;=1,
   "FM → PM (Curie-type)",
   IF(G23&lt;0.05,
      "AFM → PM (Néel-type)",
      "No long-range magnetic transition"))</f>
        <v>FM → PM (Curie-type)</v>
      </c>
    </row>
    <row r="24" customFormat="false" ht="13.8" hidden="false" customHeight="false" outlineLevel="0" collapsed="false">
      <c r="A24" s="0" t="s">
        <v>972</v>
      </c>
      <c r="B24" s="0" t="s">
        <v>973</v>
      </c>
      <c r="C24" s="0" t="s">
        <v>318</v>
      </c>
      <c r="D24" s="0" t="n">
        <v>-2.4272861035431</v>
      </c>
      <c r="E24" s="0" t="n">
        <v>0.063732537958325</v>
      </c>
      <c r="F24" s="0" t="n">
        <v>0</v>
      </c>
      <c r="G24" s="0" t="n">
        <v>5.0000005</v>
      </c>
      <c r="H24" s="0" t="s">
        <v>58</v>
      </c>
      <c r="I24" s="2" t="b">
        <f aca="false">TRUE()</f>
        <v>1</v>
      </c>
      <c r="J24" s="0" t="str">
        <f aca="false">IF(AND(CODE(MID(B24,2,1))&gt;=97,CODE(MID(B24,2,1))&lt;=122),LEFT(B24,2),LEFT(B24,1))</f>
        <v>Ca</v>
      </c>
      <c r="K24" s="0" t="n">
        <f aca="false">IF(J24="","",_xlfn.XLOOKUP(TRIM(J24),Metallic_Radius_Table!A:A,Metallic_Radius_Table!B:B))</f>
        <v>1.97</v>
      </c>
      <c r="L24" s="0" t="str">
        <f aca="false">IF(ISNUMBER(SEARCH("La",B24)),"La",
 IF(ISNUMBER(SEARCH("Nd",B24)),"Nd",
 IF(ISNUMBER(SEARCH("Eu",B24)),"Eu",
 IF(ISNUMBER(SEARCH("Gd",B24)),"Gd",""))))</f>
        <v>La</v>
      </c>
      <c r="M24" s="0" t="n">
        <f aca="false">IF(L24="","",_xlfn.XLOOKUP(TRIM(L24),Metallic_Radius_Table!A:A,Metallic_Radius_Table!B:B))</f>
        <v>1.87</v>
      </c>
      <c r="N24" s="0" t="str">
        <f aca="false">TRIM(LEFT(C24,FIND(",",C24)-1))</f>
        <v>Mn</v>
      </c>
      <c r="O24" s="3" t="n">
        <f aca="false">IF(N24="","",_xlfn.XLOOKUP(TRIM(N24),Metallic_Radius_Table!A:A,Metallic_Radius_Table!B:B))</f>
        <v>1.27</v>
      </c>
      <c r="P24" s="0" t="str">
        <f aca="false">TRIM(MID(C24,FIND(",",C24)+1,5))</f>
        <v>Ir</v>
      </c>
      <c r="Q24" s="0" t="n">
        <f aca="false">IF(P24="","",_xlfn.XLOOKUP(TRIM(P24),Metallic_Radius_Table!A:A,Metallic_Radius_Table!B:B))</f>
        <v>1.36</v>
      </c>
      <c r="R24" s="0" t="str">
        <f aca="false">IF(G24&gt;=1,   "Ferromagnetic / Ferrimagnetic",   IF(G24&gt;=0.05,      "Paramagnetic / Weakly magnetic",      "Antiferromagnetic / Diamagnetic"))</f>
        <v>Ferromagnetic / Ferrimagnetic</v>
      </c>
      <c r="U24" s="0" t="str">
        <f aca="false">IF(G24&gt;=1,
   "FM → PM (Curie-type)",
   IF(G24&lt;0.05,
      "AFM → PM (Néel-type)",
      "No long-range magnetic transition"))</f>
        <v>FM → PM (Curie-type)</v>
      </c>
    </row>
    <row r="25" customFormat="false" ht="13.8" hidden="false" customHeight="false" outlineLevel="0" collapsed="false">
      <c r="A25" s="0" t="s">
        <v>974</v>
      </c>
      <c r="B25" s="0" t="s">
        <v>975</v>
      </c>
      <c r="C25" s="0" t="s">
        <v>318</v>
      </c>
      <c r="D25" s="0" t="n">
        <v>-2.06677947188747</v>
      </c>
      <c r="E25" s="0" t="n">
        <v>0.027624103596492</v>
      </c>
      <c r="F25" s="0" t="n">
        <v>0</v>
      </c>
      <c r="G25" s="0" t="n">
        <v>3.140498</v>
      </c>
      <c r="H25" s="0" t="s">
        <v>58</v>
      </c>
      <c r="I25" s="2" t="b">
        <f aca="false">TRUE()</f>
        <v>1</v>
      </c>
      <c r="J25" s="0" t="str">
        <f aca="false">IF(AND(CODE(MID(B25,2,1))&gt;=97,CODE(MID(B25,2,1))&lt;=122),LEFT(B25,2),LEFT(B25,1))</f>
        <v>Ca</v>
      </c>
      <c r="K25" s="0" t="n">
        <f aca="false">IF(J25="","",_xlfn.XLOOKUP(TRIM(J25),Metallic_Radius_Table!A:A,Metallic_Radius_Table!B:B))</f>
        <v>1.97</v>
      </c>
      <c r="L25" s="0" t="str">
        <f aca="false">IF(ISNUMBER(SEARCH("La",B25)),"La",
 IF(ISNUMBER(SEARCH("Nd",B25)),"Nd",
 IF(ISNUMBER(SEARCH("Eu",B25)),"Eu",
 IF(ISNUMBER(SEARCH("Gd",B25)),"Gd",""))))</f>
        <v/>
      </c>
      <c r="M25" s="0" t="str">
        <f aca="false">IF(L25="","",_xlfn.XLOOKUP(TRIM(L25),Metallic_Radius_Table!A:A,Metallic_Radius_Table!B:B))</f>
        <v/>
      </c>
      <c r="N25" s="0" t="str">
        <f aca="false">TRIM(LEFT(C25,FIND(",",C25)-1))</f>
        <v>Mn</v>
      </c>
      <c r="O25" s="3" t="n">
        <f aca="false">IF(N25="","",_xlfn.XLOOKUP(TRIM(N25),Metallic_Radius_Table!A:A,Metallic_Radius_Table!B:B))</f>
        <v>1.27</v>
      </c>
      <c r="P25" s="0" t="str">
        <f aca="false">TRIM(MID(C25,FIND(",",C25)+1,5))</f>
        <v>Ir</v>
      </c>
      <c r="Q25" s="0" t="n">
        <f aca="false">IF(P25="","",_xlfn.XLOOKUP(TRIM(P25),Metallic_Radius_Table!A:A,Metallic_Radius_Table!B:B))</f>
        <v>1.36</v>
      </c>
      <c r="R25" s="0" t="str">
        <f aca="false">IF(G25&gt;=1,   "Ferromagnetic / Ferrimagnetic",   IF(G25&gt;=0.05,      "Paramagnetic / Weakly magnetic",      "Antiferromagnetic / Diamagnetic"))</f>
        <v>Ferromagnetic / Ferrimagnetic</v>
      </c>
      <c r="U25" s="0" t="str">
        <f aca="false">IF(G25&gt;=1,
   "FM → PM (Curie-type)",
   IF(G25&lt;0.05,
      "AFM → PM (Néel-type)",
      "No long-range magnetic transition"))</f>
        <v>FM → PM (Curie-type)</v>
      </c>
    </row>
    <row r="26" customFormat="false" ht="13.8" hidden="false" customHeight="false" outlineLevel="0" collapsed="false">
      <c r="A26" s="0" t="s">
        <v>976</v>
      </c>
      <c r="B26" s="0" t="s">
        <v>977</v>
      </c>
      <c r="C26" s="0" t="s">
        <v>79</v>
      </c>
      <c r="D26" s="0" t="n">
        <v>-2.58967086030852</v>
      </c>
      <c r="E26" s="0" t="n">
        <v>0.042408795624991</v>
      </c>
      <c r="F26" s="0" t="n">
        <v>1.73499999999999</v>
      </c>
      <c r="G26" s="4" t="n">
        <v>2.6E-006</v>
      </c>
      <c r="H26" s="0" t="s">
        <v>58</v>
      </c>
      <c r="I26" s="2" t="b">
        <f aca="false">TRUE()</f>
        <v>1</v>
      </c>
      <c r="J26" s="0" t="str">
        <f aca="false">IF(AND(CODE(MID(B26,2,1))&gt;=97,CODE(MID(B26,2,1))&lt;=122),LEFT(B26,2),LEFT(B26,1))</f>
        <v>Ca</v>
      </c>
      <c r="K26" s="0" t="n">
        <f aca="false">IF(J26="","",_xlfn.XLOOKUP(TRIM(J26),Metallic_Radius_Table!A:A,Metallic_Radius_Table!B:B))</f>
        <v>1.97</v>
      </c>
      <c r="L26" s="0" t="str">
        <f aca="false">IF(ISNUMBER(SEARCH("La",B26)),"La",
 IF(ISNUMBER(SEARCH("Nd",B26)),"Nd",
 IF(ISNUMBER(SEARCH("Eu",B26)),"Eu",
 IF(ISNUMBER(SEARCH("Gd",B26)),"Gd",""))))</f>
        <v/>
      </c>
      <c r="M26" s="0" t="str">
        <f aca="false">IF(L26="","",_xlfn.XLOOKUP(TRIM(L26),Metallic_Radius_Table!A:A,Metallic_Radius_Table!B:B))</f>
        <v/>
      </c>
      <c r="N26" s="0" t="str">
        <f aca="false">TRIM(LEFT(C26,FIND(",",C26)-1))</f>
        <v>Mn</v>
      </c>
      <c r="O26" s="3" t="n">
        <f aca="false">IF(N26="","",_xlfn.XLOOKUP(TRIM(N26),Metallic_Radius_Table!A:A,Metallic_Radius_Table!B:B))</f>
        <v>1.27</v>
      </c>
      <c r="P26" s="0" t="str">
        <f aca="false">TRIM(MID(C26,FIND(",",C26)+1,5))</f>
        <v>W</v>
      </c>
      <c r="Q26" s="0" t="n">
        <f aca="false">IF(P26="","",_xlfn.XLOOKUP(TRIM(P26),Metallic_Radius_Table!A:A,Metallic_Radius_Table!B:B))</f>
        <v>1.41</v>
      </c>
      <c r="R26" s="0" t="str">
        <f aca="false">IF(G26&gt;=1,   "Ferromagnetic / Ferrimagnetic",   IF(G26&gt;=0.05,      "Paramagnetic / Weakly magnetic",      "Antiferromagnetic / Diamagnetic"))</f>
        <v>Antiferromagnetic / Diamagnetic</v>
      </c>
      <c r="U26" s="0" t="str">
        <f aca="false">IF(G26&gt;=1,
   "FM → PM (Curie-type)",
   IF(G26&lt;0.05,
      "AFM → PM (Néel-type)",
      "No long-range magnetic transition"))</f>
        <v>AFM → PM (Néel-type)</v>
      </c>
    </row>
    <row r="27" customFormat="false" ht="13.8" hidden="false" customHeight="false" outlineLevel="0" collapsed="false">
      <c r="A27" s="0" t="s">
        <v>978</v>
      </c>
      <c r="B27" s="0" t="s">
        <v>979</v>
      </c>
      <c r="C27" s="0" t="s">
        <v>108</v>
      </c>
      <c r="D27" s="0" t="n">
        <v>-2.25655919421052</v>
      </c>
      <c r="E27" s="0" t="n">
        <v>0.105577528070171</v>
      </c>
      <c r="F27" s="0" t="n">
        <v>0</v>
      </c>
      <c r="G27" s="0" t="n">
        <v>6.3858348</v>
      </c>
      <c r="H27" s="0" t="s">
        <v>58</v>
      </c>
      <c r="I27" s="2" t="b">
        <f aca="false">TRUE()</f>
        <v>1</v>
      </c>
      <c r="J27" s="0" t="str">
        <f aca="false">IF(AND(CODE(MID(B27,2,1))&gt;=97,CODE(MID(B27,2,1))&lt;=122),LEFT(B27,2),LEFT(B27,1))</f>
        <v>Ca</v>
      </c>
      <c r="K27" s="0" t="n">
        <f aca="false">IF(J27="","",_xlfn.XLOOKUP(TRIM(J27),Metallic_Radius_Table!A:A,Metallic_Radius_Table!B:B))</f>
        <v>1.97</v>
      </c>
      <c r="L27" s="0" t="str">
        <f aca="false">IF(ISNUMBER(SEARCH("La",B27)),"La",
 IF(ISNUMBER(SEARCH("Nd",B27)),"Nd",
 IF(ISNUMBER(SEARCH("Eu",B27)),"Eu",
 IF(ISNUMBER(SEARCH("Gd",B27)),"Gd",""))))</f>
        <v/>
      </c>
      <c r="M27" s="0" t="str">
        <f aca="false">IF(L27="","",_xlfn.XLOOKUP(TRIM(L27),Metallic_Radius_Table!A:A,Metallic_Radius_Table!B:B))</f>
        <v/>
      </c>
      <c r="N27" s="0" t="str">
        <f aca="false">TRIM(LEFT(C27,FIND(",",C27)-1))</f>
        <v>Ni</v>
      </c>
      <c r="O27" s="3" t="n">
        <f aca="false">IF(N27="","",_xlfn.XLOOKUP(TRIM(N27),Metallic_Radius_Table!A:A,Metallic_Radius_Table!B:B))</f>
        <v>1.24</v>
      </c>
      <c r="P27" s="0" t="str">
        <f aca="false">TRIM(MID(C27,FIND(",",C27)+1,5))</f>
        <v>W</v>
      </c>
      <c r="Q27" s="0" t="n">
        <f aca="false">IF(P27="","",_xlfn.XLOOKUP(TRIM(P27),Metallic_Radius_Table!A:A,Metallic_Radius_Table!B:B))</f>
        <v>1.41</v>
      </c>
      <c r="R27" s="0" t="str">
        <f aca="false">IF(G27&gt;=1,   "Ferromagnetic / Ferrimagnetic",   IF(G27&gt;=0.05,      "Paramagnetic / Weakly magnetic",      "Antiferromagnetic / Diamagnetic"))</f>
        <v>Ferromagnetic / Ferrimagnetic</v>
      </c>
      <c r="U27" s="0" t="str">
        <f aca="false">IF(G27&gt;=1,
   "FM → PM (Curie-type)",
   IF(G27&lt;0.05,
      "AFM → PM (Néel-type)",
      "No long-range magnetic transition"))</f>
        <v>FM → PM (Curie-type)</v>
      </c>
    </row>
    <row r="28" customFormat="false" ht="13.8" hidden="false" customHeight="false" outlineLevel="0" collapsed="false">
      <c r="A28" s="0" t="s">
        <v>980</v>
      </c>
      <c r="B28" s="0" t="s">
        <v>981</v>
      </c>
      <c r="C28" s="0" t="s">
        <v>228</v>
      </c>
      <c r="D28" s="0" t="n">
        <v>-2.88363367605405</v>
      </c>
      <c r="E28" s="0" t="n">
        <v>0.117686721216198</v>
      </c>
      <c r="F28" s="0" t="n">
        <v>2.77029999999999</v>
      </c>
      <c r="G28" s="0" t="n">
        <v>20.0007004</v>
      </c>
      <c r="H28" s="0" t="s">
        <v>54</v>
      </c>
      <c r="I28" s="2" t="b">
        <f aca="false">TRUE()</f>
        <v>1</v>
      </c>
      <c r="J28" s="0" t="str">
        <f aca="false">IF(AND(CODE(MID(B28,2,1))&gt;=97,CODE(MID(B28,2,1))&lt;=122),LEFT(B28,2),LEFT(B28,1))</f>
        <v>Ca</v>
      </c>
      <c r="K28" s="0" t="n">
        <f aca="false">IF(J28="","",_xlfn.XLOOKUP(TRIM(J28),Metallic_Radius_Table!A:A,Metallic_Radius_Table!B:B))</f>
        <v>1.97</v>
      </c>
      <c r="L28" s="0" t="str">
        <f aca="false">IF(ISNUMBER(SEARCH("La",B28)),"La",
 IF(ISNUMBER(SEARCH("Nd",B28)),"Nd",
 IF(ISNUMBER(SEARCH("Eu",B28)),"Eu",
 IF(ISNUMBER(SEARCH("Gd",B28)),"Gd",""))))</f>
        <v/>
      </c>
      <c r="M28" s="0" t="str">
        <f aca="false">IF(L28="","",_xlfn.XLOOKUP(TRIM(L28),Metallic_Radius_Table!A:A,Metallic_Radius_Table!B:B))</f>
        <v/>
      </c>
      <c r="N28" s="0" t="str">
        <f aca="false">TRIM(LEFT(C28,FIND(",",C28)-1))</f>
        <v>Fe</v>
      </c>
      <c r="O28" s="3" t="n">
        <f aca="false">IF(N28="","",_xlfn.XLOOKUP(TRIM(N28),Metallic_Radius_Table!A:A,Metallic_Radius_Table!B:B))</f>
        <v>1.26</v>
      </c>
      <c r="P28" s="0" t="str">
        <f aca="false">TRIM(MID(C28,FIND(",",C28)+1,5))</f>
        <v>Ta</v>
      </c>
      <c r="Q28" s="0" t="n">
        <f aca="false">IF(P28="","",_xlfn.XLOOKUP(TRIM(P28),Metallic_Radius_Table!A:A,Metallic_Radius_Table!B:B))</f>
        <v>1.46</v>
      </c>
      <c r="R28" s="0" t="str">
        <f aca="false">IF(G28&gt;=1,   "Ferromagnetic / Ferrimagnetic",   IF(G28&gt;=0.05,      "Paramagnetic / Weakly magnetic",      "Antiferromagnetic / Diamagnetic"))</f>
        <v>Ferromagnetic / Ferrimagnetic</v>
      </c>
      <c r="U28" s="0" t="str">
        <f aca="false">IF(G28&gt;=1,
   "FM → PM (Curie-type)",
   IF(G28&lt;0.05,
      "AFM → PM (Néel-type)",
      "No long-range magnetic transition"))</f>
        <v>FM → PM (Curie-type)</v>
      </c>
    </row>
    <row r="29" customFormat="false" ht="13.8" hidden="false" customHeight="false" outlineLevel="0" collapsed="false">
      <c r="A29" s="0" t="s">
        <v>982</v>
      </c>
      <c r="B29" s="0" t="s">
        <v>983</v>
      </c>
      <c r="C29" s="0" t="s">
        <v>984</v>
      </c>
      <c r="D29" s="0" t="n">
        <v>-2.537558555625</v>
      </c>
      <c r="E29" s="0" t="n">
        <v>0.057680666549082</v>
      </c>
      <c r="F29" s="0" t="n">
        <v>0</v>
      </c>
      <c r="G29" s="0" t="n">
        <v>20.0413784</v>
      </c>
      <c r="H29" s="0" t="s">
        <v>985</v>
      </c>
      <c r="I29" s="2" t="b">
        <f aca="false">TRUE()</f>
        <v>1</v>
      </c>
      <c r="J29" s="0" t="str">
        <f aca="false">IF(AND(CODE(MID(B29,2,1))&gt;=97,CODE(MID(B29,2,1))&lt;=122),LEFT(B29,2),LEFT(B29,1))</f>
        <v>Ca</v>
      </c>
      <c r="K29" s="0" t="n">
        <f aca="false">IF(J29="","",_xlfn.XLOOKUP(TRIM(J29),Metallic_Radius_Table!A:A,Metallic_Radius_Table!B:B))</f>
        <v>1.97</v>
      </c>
      <c r="L29" s="0" t="str">
        <f aca="false">IF(ISNUMBER(SEARCH("La",B29)),"La",
 IF(ISNUMBER(SEARCH("Nd",B29)),"Nd",
 IF(ISNUMBER(SEARCH("Eu",B29)),"Eu",
 IF(ISNUMBER(SEARCH("Gd",B29)),"Gd",""))))</f>
        <v/>
      </c>
      <c r="M29" s="0" t="str">
        <f aca="false">IF(L29="","",_xlfn.XLOOKUP(TRIM(L29),Metallic_Radius_Table!A:A,Metallic_Radius_Table!B:B))</f>
        <v/>
      </c>
      <c r="N29" s="0" t="str">
        <f aca="false">TRIM(LEFT(C29,FIND(",",C29)-1))</f>
        <v>Co</v>
      </c>
      <c r="O29" s="3" t="n">
        <f aca="false">IF(N29="","",_xlfn.XLOOKUP(TRIM(N29),Metallic_Radius_Table!A:A,Metallic_Radius_Table!B:B))</f>
        <v>1.25</v>
      </c>
      <c r="P29" s="0" t="str">
        <f aca="false">TRIM(MID(C29,FIND(",",C29)+1,5))</f>
        <v>V</v>
      </c>
      <c r="Q29" s="0" t="n">
        <f aca="false">IF(P29="","",_xlfn.XLOOKUP(TRIM(P29),Metallic_Radius_Table!A:A,Metallic_Radius_Table!B:B))</f>
        <v>1.34</v>
      </c>
      <c r="R29" s="0" t="str">
        <f aca="false">IF(G29&gt;=1,   "Ferromagnetic / Ferrimagnetic",   IF(G29&gt;=0.05,      "Paramagnetic / Weakly magnetic",      "Antiferromagnetic / Diamagnetic"))</f>
        <v>Ferromagnetic / Ferrimagnetic</v>
      </c>
      <c r="U29" s="0" t="str">
        <f aca="false">IF(G29&gt;=1,
   "FM → PM (Curie-type)",
   IF(G29&lt;0.05,
      "AFM → PM (Néel-type)",
      "No long-range magnetic transition"))</f>
        <v>FM → PM (Curie-type)</v>
      </c>
    </row>
    <row r="30" customFormat="false" ht="13.8" hidden="false" customHeight="false" outlineLevel="0" collapsed="false">
      <c r="A30" s="0" t="s">
        <v>986</v>
      </c>
      <c r="B30" s="0" t="s">
        <v>987</v>
      </c>
      <c r="C30" s="0" t="s">
        <v>948</v>
      </c>
      <c r="D30" s="0" t="n">
        <v>-2.56595883687499</v>
      </c>
      <c r="E30" s="0" t="n">
        <v>0.016509984053591</v>
      </c>
      <c r="F30" s="0" t="n">
        <v>0</v>
      </c>
      <c r="G30" s="0" t="n">
        <v>19.9631648</v>
      </c>
      <c r="H30" s="0" t="s">
        <v>985</v>
      </c>
      <c r="I30" s="2" t="b">
        <f aca="false">TRUE()</f>
        <v>1</v>
      </c>
      <c r="J30" s="0" t="str">
        <f aca="false">IF(AND(CODE(MID(B30,2,1))&gt;=97,CODE(MID(B30,2,1))&lt;=122),LEFT(B30,2),LEFT(B30,1))</f>
        <v>Ca</v>
      </c>
      <c r="K30" s="0" t="n">
        <f aca="false">IF(J30="","",_xlfn.XLOOKUP(TRIM(J30),Metallic_Radius_Table!A:A,Metallic_Radius_Table!B:B))</f>
        <v>1.97</v>
      </c>
      <c r="L30" s="0" t="str">
        <f aca="false">IF(ISNUMBER(SEARCH("La",B30)),"La",
 IF(ISNUMBER(SEARCH("Nd",B30)),"Nd",
 IF(ISNUMBER(SEARCH("Eu",B30)),"Eu",
 IF(ISNUMBER(SEARCH("Gd",B30)),"Gd",""))))</f>
        <v/>
      </c>
      <c r="M30" s="0" t="str">
        <f aca="false">IF(L30="","",_xlfn.XLOOKUP(TRIM(L30),Metallic_Radius_Table!A:A,Metallic_Radius_Table!B:B))</f>
        <v/>
      </c>
      <c r="N30" s="0" t="str">
        <f aca="false">TRIM(LEFT(C30,FIND(",",C30)-1))</f>
        <v>Ni</v>
      </c>
      <c r="O30" s="3" t="n">
        <f aca="false">IF(N30="","",_xlfn.XLOOKUP(TRIM(N30),Metallic_Radius_Table!A:A,Metallic_Radius_Table!B:B))</f>
        <v>1.24</v>
      </c>
      <c r="P30" s="0" t="str">
        <f aca="false">TRIM(MID(C30,FIND(",",C30)+1,5))</f>
        <v>V</v>
      </c>
      <c r="Q30" s="0" t="n">
        <f aca="false">IF(P30="","",_xlfn.XLOOKUP(TRIM(P30),Metallic_Radius_Table!A:A,Metallic_Radius_Table!B:B))</f>
        <v>1.34</v>
      </c>
      <c r="R30" s="0" t="str">
        <f aca="false">IF(G30&gt;=1,   "Ferromagnetic / Ferrimagnetic",   IF(G30&gt;=0.05,      "Paramagnetic / Weakly magnetic",      "Antiferromagnetic / Diamagnetic"))</f>
        <v>Ferromagnetic / Ferrimagnetic</v>
      </c>
      <c r="U30" s="0" t="str">
        <f aca="false">IF(G30&gt;=1,
   "FM → PM (Curie-type)",
   IF(G30&lt;0.05,
      "AFM → PM (Néel-type)",
      "No long-range magnetic transition"))</f>
        <v>FM → PM (Curie-type)</v>
      </c>
    </row>
    <row r="31" customFormat="false" ht="13.8" hidden="false" customHeight="false" outlineLevel="0" collapsed="false">
      <c r="A31" s="0" t="s">
        <v>988</v>
      </c>
      <c r="B31" s="0" t="s">
        <v>989</v>
      </c>
      <c r="C31" s="0" t="s">
        <v>241</v>
      </c>
      <c r="D31" s="0" t="n">
        <v>-2.41548184513513</v>
      </c>
      <c r="E31" s="0" t="n">
        <v>0.015994472702704</v>
      </c>
      <c r="F31" s="0" t="n">
        <v>1.7641</v>
      </c>
      <c r="G31" s="0" t="n">
        <v>0</v>
      </c>
      <c r="H31" s="0" t="s">
        <v>54</v>
      </c>
      <c r="I31" s="2" t="b">
        <f aca="false">TRUE()</f>
        <v>1</v>
      </c>
      <c r="J31" s="0" t="str">
        <f aca="false">IF(AND(CODE(MID(B31,2,1))&gt;=97,CODE(MID(B31,2,1))&lt;=122),LEFT(B31,2),LEFT(B31,1))</f>
        <v>Ca</v>
      </c>
      <c r="K31" s="0" t="n">
        <f aca="false">IF(J31="","",_xlfn.XLOOKUP(TRIM(J31),Metallic_Radius_Table!A:A,Metallic_Radius_Table!B:B))</f>
        <v>1.97</v>
      </c>
      <c r="L31" s="0" t="str">
        <f aca="false">IF(ISNUMBER(SEARCH("La",B31)),"La",
 IF(ISNUMBER(SEARCH("Nd",B31)),"Nd",
 IF(ISNUMBER(SEARCH("Eu",B31)),"Eu",
 IF(ISNUMBER(SEARCH("Gd",B31)),"Gd",""))))</f>
        <v/>
      </c>
      <c r="M31" s="0" t="str">
        <f aca="false">IF(L31="","",_xlfn.XLOOKUP(TRIM(L31),Metallic_Radius_Table!A:A,Metallic_Radius_Table!B:B))</f>
        <v/>
      </c>
      <c r="N31" s="0" t="str">
        <f aca="false">TRIM(LEFT(C31,FIND(",",C31)-1))</f>
        <v>Fe</v>
      </c>
      <c r="O31" s="3" t="n">
        <f aca="false">IF(N31="","",_xlfn.XLOOKUP(TRIM(N31),Metallic_Radius_Table!A:A,Metallic_Radius_Table!B:B))</f>
        <v>1.26</v>
      </c>
      <c r="P31" s="0" t="str">
        <f aca="false">TRIM(MID(C31,FIND(",",C31)+1,5))</f>
        <v>V</v>
      </c>
      <c r="Q31" s="0" t="n">
        <f aca="false">IF(P31="","",_xlfn.XLOOKUP(TRIM(P31),Metallic_Radius_Table!A:A,Metallic_Radius_Table!B:B))</f>
        <v>1.34</v>
      </c>
      <c r="R31" s="0" t="str">
        <f aca="false">IF(G31&gt;=1,   "Ferromagnetic / Ferrimagnetic",   IF(G31&gt;=0.05,      "Paramagnetic / Weakly magnetic",      "Antiferromagnetic / Diamagnetic"))</f>
        <v>Antiferromagnetic / Diamagnetic</v>
      </c>
      <c r="U31" s="0" t="str">
        <f aca="false">IF(G31&gt;=1,
   "FM → PM (Curie-type)",
   IF(G31&lt;0.05,
      "AFM → PM (Néel-type)",
      "No long-range magnetic transition"))</f>
        <v>AFM → PM (Néel-type)</v>
      </c>
    </row>
    <row r="32" customFormat="false" ht="13.8" hidden="false" customHeight="false" outlineLevel="0" collapsed="false">
      <c r="A32" s="0" t="s">
        <v>990</v>
      </c>
      <c r="B32" s="0" t="s">
        <v>991</v>
      </c>
      <c r="C32" s="0" t="s">
        <v>396</v>
      </c>
      <c r="D32" s="0" t="n">
        <v>-2.28711076504105</v>
      </c>
      <c r="E32" s="0" t="n">
        <v>0.104025166944441</v>
      </c>
      <c r="F32" s="0" t="n">
        <v>0</v>
      </c>
      <c r="G32" s="0" t="n">
        <v>10.0030792</v>
      </c>
      <c r="H32" s="0" t="s">
        <v>45</v>
      </c>
      <c r="I32" s="2" t="b">
        <f aca="false">TRUE()</f>
        <v>1</v>
      </c>
      <c r="J32" s="0" t="str">
        <f aca="false">IF(AND(CODE(MID(B32,2,1))&gt;=97,CODE(MID(B32,2,1))&lt;=122),LEFT(B32,2),LEFT(B32,1))</f>
        <v>Ca</v>
      </c>
      <c r="K32" s="0" t="n">
        <f aca="false">IF(J32="","",_xlfn.XLOOKUP(TRIM(J32),Metallic_Radius_Table!A:A,Metallic_Radius_Table!B:B))</f>
        <v>1.97</v>
      </c>
      <c r="L32" s="0" t="str">
        <f aca="false">IF(ISNUMBER(SEARCH("La",B32)),"La",
 IF(ISNUMBER(SEARCH("Nd",B32)),"Nd",
 IF(ISNUMBER(SEARCH("Eu",B32)),"Eu",
 IF(ISNUMBER(SEARCH("Gd",B32)),"Gd",""))))</f>
        <v/>
      </c>
      <c r="M32" s="0" t="str">
        <f aca="false">IF(L32="","",_xlfn.XLOOKUP(TRIM(L32),Metallic_Radius_Table!A:A,Metallic_Radius_Table!B:B))</f>
        <v/>
      </c>
      <c r="N32" s="0" t="str">
        <f aca="false">TRIM(LEFT(C32,FIND(",",C32)-1))</f>
        <v>Mn</v>
      </c>
      <c r="O32" s="3" t="n">
        <f aca="false">IF(N32="","",_xlfn.XLOOKUP(TRIM(N32),Metallic_Radius_Table!A:A,Metallic_Radius_Table!B:B))</f>
        <v>1.27</v>
      </c>
      <c r="P32" s="0" t="str">
        <f aca="false">TRIM(MID(C32,FIND(",",C32)+1,5))</f>
        <v>Ni</v>
      </c>
      <c r="Q32" s="0" t="n">
        <f aca="false">IF(P32="","",_xlfn.XLOOKUP(TRIM(P32),Metallic_Radius_Table!A:A,Metallic_Radius_Table!B:B))</f>
        <v>1.24</v>
      </c>
      <c r="R32" s="0" t="str">
        <f aca="false">IF(G32&gt;=1,   "Ferromagnetic / Ferrimagnetic",   IF(G32&gt;=0.05,      "Paramagnetic / Weakly magnetic",      "Antiferromagnetic / Diamagnetic"))</f>
        <v>Ferromagnetic / Ferrimagnetic</v>
      </c>
      <c r="U32" s="0" t="str">
        <f aca="false">IF(G32&gt;=1,
   "FM → PM (Curie-type)",
   IF(G32&lt;0.05,
      "AFM → PM (Néel-type)",
      "No long-range magnetic transition"))</f>
        <v>FM → PM (Curie-type)</v>
      </c>
    </row>
    <row r="33" customFormat="false" ht="13.8" hidden="false" customHeight="false" outlineLevel="0" collapsed="false">
      <c r="A33" s="0" t="s">
        <v>992</v>
      </c>
      <c r="B33" s="0" t="s">
        <v>993</v>
      </c>
      <c r="C33" s="0" t="s">
        <v>417</v>
      </c>
      <c r="D33" s="0" t="n">
        <v>-2.52779646499999</v>
      </c>
      <c r="E33" s="0" t="n">
        <v>0.041106248409089</v>
      </c>
      <c r="F33" s="0" t="n">
        <v>0.0866</v>
      </c>
      <c r="G33" s="0" t="n">
        <v>0.015286399999999</v>
      </c>
      <c r="H33" s="0" t="s">
        <v>965</v>
      </c>
      <c r="I33" s="2" t="b">
        <f aca="false">TRUE()</f>
        <v>1</v>
      </c>
      <c r="J33" s="0" t="str">
        <f aca="false">IF(AND(CODE(MID(B33,2,1))&gt;=97,CODE(MID(B33,2,1))&lt;=122),LEFT(B33,2),LEFT(B33,1))</f>
        <v>Ca</v>
      </c>
      <c r="K33" s="0" t="n">
        <f aca="false">IF(J33="","",_xlfn.XLOOKUP(TRIM(J33),Metallic_Radius_Table!A:A,Metallic_Radius_Table!B:B))</f>
        <v>1.97</v>
      </c>
      <c r="L33" s="0" t="str">
        <f aca="false">IF(ISNUMBER(SEARCH("La",B33)),"La",
 IF(ISNUMBER(SEARCH("Nd",B33)),"Nd",
 IF(ISNUMBER(SEARCH("Eu",B33)),"Eu",
 IF(ISNUMBER(SEARCH("Gd",B33)),"Gd",""))))</f>
        <v/>
      </c>
      <c r="M33" s="0" t="str">
        <f aca="false">IF(L33="","",_xlfn.XLOOKUP(TRIM(L33),Metallic_Radius_Table!A:A,Metallic_Radius_Table!B:B))</f>
        <v/>
      </c>
      <c r="N33" s="0" t="str">
        <f aca="false">TRIM(LEFT(C33,FIND(",",C33)-1))</f>
        <v>Ni</v>
      </c>
      <c r="O33" s="3" t="n">
        <f aca="false">IF(N33="","",_xlfn.XLOOKUP(TRIM(N33),Metallic_Radius_Table!A:A,Metallic_Radius_Table!B:B))</f>
        <v>1.24</v>
      </c>
      <c r="P33" s="0" t="str">
        <f aca="false">TRIM(MID(C33,FIND(",",C33)+1,5))</f>
        <v>Ir</v>
      </c>
      <c r="Q33" s="0" t="n">
        <f aca="false">IF(P33="","",_xlfn.XLOOKUP(TRIM(P33),Metallic_Radius_Table!A:A,Metallic_Radius_Table!B:B))</f>
        <v>1.36</v>
      </c>
      <c r="R33" s="0" t="str">
        <f aca="false">IF(G33&gt;=1,   "Ferromagnetic / Ferrimagnetic",   IF(G33&gt;=0.05,      "Paramagnetic / Weakly magnetic",      "Antiferromagnetic / Diamagnetic"))</f>
        <v>Antiferromagnetic / Diamagnetic</v>
      </c>
      <c r="U33" s="0" t="str">
        <f aca="false">IF(G33&gt;=1,
   "FM → PM (Curie-type)",
   IF(G33&lt;0.05,
      "AFM → PM (Néel-type)",
      "No long-range magnetic transition"))</f>
        <v>AFM → PM (Néel-type)</v>
      </c>
    </row>
    <row r="34" customFormat="false" ht="13.8" hidden="false" customHeight="false" outlineLevel="0" collapsed="false">
      <c r="A34" s="0" t="s">
        <v>994</v>
      </c>
      <c r="B34" s="0" t="s">
        <v>995</v>
      </c>
      <c r="C34" s="0" t="s">
        <v>996</v>
      </c>
      <c r="D34" s="0" t="n">
        <v>-2.53557582025</v>
      </c>
      <c r="E34" s="0" t="n">
        <v>0.053496810911456</v>
      </c>
      <c r="F34" s="0" t="n">
        <v>0</v>
      </c>
      <c r="G34" s="0" t="n">
        <v>9.0000016</v>
      </c>
      <c r="H34" s="0" t="s">
        <v>58</v>
      </c>
      <c r="I34" s="2" t="b">
        <f aca="false">TRUE()</f>
        <v>1</v>
      </c>
      <c r="J34" s="0" t="str">
        <f aca="false">IF(AND(CODE(MID(B34,2,1))&gt;=97,CODE(MID(B34,2,1))&lt;=122),LEFT(B34,2),LEFT(B34,1))</f>
        <v>Ca</v>
      </c>
      <c r="K34" s="0" t="n">
        <f aca="false">IF(J34="","",_xlfn.XLOOKUP(TRIM(J34),Metallic_Radius_Table!A:A,Metallic_Radius_Table!B:B))</f>
        <v>1.97</v>
      </c>
      <c r="L34" s="0" t="str">
        <f aca="false">IF(ISNUMBER(SEARCH("La",B34)),"La",
 IF(ISNUMBER(SEARCH("Nd",B34)),"Nd",
 IF(ISNUMBER(SEARCH("Eu",B34)),"Eu",
 IF(ISNUMBER(SEARCH("Gd",B34)),"Gd",""))))</f>
        <v/>
      </c>
      <c r="M34" s="0" t="str">
        <f aca="false">IF(L34="","",_xlfn.XLOOKUP(TRIM(L34),Metallic_Radius_Table!A:A,Metallic_Radius_Table!B:B))</f>
        <v/>
      </c>
      <c r="N34" s="0" t="str">
        <f aca="false">TRIM(LEFT(C34,FIND(",",C34)-1))</f>
        <v>Co</v>
      </c>
      <c r="O34" s="3" t="n">
        <f aca="false">IF(N34="","",_xlfn.XLOOKUP(TRIM(N34),Metallic_Radius_Table!A:A,Metallic_Radius_Table!B:B))</f>
        <v>1.25</v>
      </c>
      <c r="P34" s="0" t="str">
        <f aca="false">TRIM(MID(C34,FIND(",",C34)+1,5))</f>
        <v>Y</v>
      </c>
      <c r="Q34" s="0" t="n">
        <f aca="false">IF(P34="","",_xlfn.XLOOKUP(TRIM(P34),Metallic_Radius_Table!A:A,Metallic_Radius_Table!B:B))</f>
        <v>1.8</v>
      </c>
      <c r="R34" s="0" t="str">
        <f aca="false">IF(G34&gt;=1,   "Ferromagnetic / Ferrimagnetic",   IF(G34&gt;=0.05,      "Paramagnetic / Weakly magnetic",      "Antiferromagnetic / Diamagnetic"))</f>
        <v>Ferromagnetic / Ferrimagnetic</v>
      </c>
      <c r="U34" s="0" t="str">
        <f aca="false">IF(G34&gt;=1,
   "FM → PM (Curie-type)",
   IF(G34&lt;0.05,
      "AFM → PM (Néel-type)",
      "No long-range magnetic transition"))</f>
        <v>FM → PM (Curie-type)</v>
      </c>
    </row>
    <row r="35" customFormat="false" ht="13.8" hidden="false" customHeight="false" outlineLevel="0" collapsed="false">
      <c r="A35" s="0" t="s">
        <v>997</v>
      </c>
      <c r="B35" s="0" t="s">
        <v>995</v>
      </c>
      <c r="C35" s="0" t="s">
        <v>996</v>
      </c>
      <c r="D35" s="0" t="n">
        <v>-2.53838633575</v>
      </c>
      <c r="E35" s="0" t="n">
        <v>0.050686295411455</v>
      </c>
      <c r="F35" s="0" t="n">
        <v>0</v>
      </c>
      <c r="G35" s="0" t="n">
        <v>8.9997659</v>
      </c>
      <c r="H35" s="0" t="s">
        <v>58</v>
      </c>
      <c r="I35" s="2" t="b">
        <f aca="false">TRUE()</f>
        <v>1</v>
      </c>
      <c r="J35" s="0" t="str">
        <f aca="false">IF(AND(CODE(MID(B35,2,1))&gt;=97,CODE(MID(B35,2,1))&lt;=122),LEFT(B35,2),LEFT(B35,1))</f>
        <v>Ca</v>
      </c>
      <c r="K35" s="0" t="n">
        <f aca="false">IF(J35="","",_xlfn.XLOOKUP(TRIM(J35),Metallic_Radius_Table!A:A,Metallic_Radius_Table!B:B))</f>
        <v>1.97</v>
      </c>
      <c r="L35" s="0" t="str">
        <f aca="false">IF(ISNUMBER(SEARCH("La",B35)),"La",
 IF(ISNUMBER(SEARCH("Nd",B35)),"Nd",
 IF(ISNUMBER(SEARCH("Eu",B35)),"Eu",
 IF(ISNUMBER(SEARCH("Gd",B35)),"Gd",""))))</f>
        <v/>
      </c>
      <c r="M35" s="0" t="str">
        <f aca="false">IF(L35="","",_xlfn.XLOOKUP(TRIM(L35),Metallic_Radius_Table!A:A,Metallic_Radius_Table!B:B))</f>
        <v/>
      </c>
      <c r="N35" s="0" t="str">
        <f aca="false">TRIM(LEFT(C35,FIND(",",C35)-1))</f>
        <v>Co</v>
      </c>
      <c r="O35" s="3" t="n">
        <f aca="false">IF(N35="","",_xlfn.XLOOKUP(TRIM(N35),Metallic_Radius_Table!A:A,Metallic_Radius_Table!B:B))</f>
        <v>1.25</v>
      </c>
      <c r="P35" s="0" t="str">
        <f aca="false">TRIM(MID(C35,FIND(",",C35)+1,5))</f>
        <v>Y</v>
      </c>
      <c r="Q35" s="0" t="n">
        <f aca="false">IF(P35="","",_xlfn.XLOOKUP(TRIM(P35),Metallic_Radius_Table!A:A,Metallic_Radius_Table!B:B))</f>
        <v>1.8</v>
      </c>
      <c r="R35" s="0" t="str">
        <f aca="false">IF(G35&gt;=1,   "Ferromagnetic / Ferrimagnetic",   IF(G35&gt;=0.05,      "Paramagnetic / Weakly magnetic",      "Antiferromagnetic / Diamagnetic"))</f>
        <v>Ferromagnetic / Ferrimagnetic</v>
      </c>
      <c r="U35" s="0" t="str">
        <f aca="false">IF(G35&gt;=1,
   "FM → PM (Curie-type)",
   IF(G35&lt;0.05,
      "AFM → PM (Néel-type)",
      "No long-range magnetic transition"))</f>
        <v>FM → PM (Curie-type)</v>
      </c>
    </row>
    <row r="36" customFormat="false" ht="13.8" hidden="false" customHeight="false" outlineLevel="0" collapsed="false">
      <c r="A36" s="0" t="s">
        <v>998</v>
      </c>
      <c r="B36" s="0" t="s">
        <v>999</v>
      </c>
      <c r="C36" s="0" t="s">
        <v>1000</v>
      </c>
      <c r="D36" s="0" t="n">
        <v>-2.44909202058823</v>
      </c>
      <c r="E36" s="0" t="n">
        <v>0.049005329705879</v>
      </c>
      <c r="F36" s="0" t="n">
        <v>0</v>
      </c>
      <c r="G36" s="0" t="n">
        <v>24.001128</v>
      </c>
      <c r="H36" s="0" t="s">
        <v>1001</v>
      </c>
      <c r="I36" s="2" t="b">
        <f aca="false">TRUE()</f>
        <v>1</v>
      </c>
      <c r="J36" s="0" t="str">
        <f aca="false">IF(AND(CODE(MID(B36,2,1))&gt;=97,CODE(MID(B36,2,1))&lt;=122),LEFT(B36,2),LEFT(B36,1))</f>
        <v>Eu</v>
      </c>
      <c r="K36" s="0" t="n">
        <f aca="false">IF(J36="","",_xlfn.XLOOKUP(TRIM(J36),Metallic_Radius_Table!A:A,Metallic_Radius_Table!B:B))</f>
        <v>1.99</v>
      </c>
      <c r="L36" s="0" t="str">
        <f aca="false">IF(ISNUMBER(SEARCH("La",B36)),"La",
 IF(ISNUMBER(SEARCH("Nd",B36)),"Nd",
 IF(ISNUMBER(SEARCH("Eu",B36)),"Eu",
 IF(ISNUMBER(SEARCH("Gd",B36)),"Gd",""))))</f>
        <v>Eu</v>
      </c>
      <c r="M36" s="0" t="n">
        <f aca="false">IF(L36="","",_xlfn.XLOOKUP(TRIM(L36),Metallic_Radius_Table!A:A,Metallic_Radius_Table!B:B))</f>
        <v>1.99</v>
      </c>
      <c r="N36" s="0" t="str">
        <f aca="false">TRIM(LEFT(C36,FIND(",",C36)-1))</f>
        <v>Mo</v>
      </c>
      <c r="O36" s="3" t="n">
        <f aca="false">IF(N36="","",_xlfn.XLOOKUP(TRIM(N36),Metallic_Radius_Table!A:A,Metallic_Radius_Table!B:B))</f>
        <v>1.39</v>
      </c>
      <c r="P36" s="0" t="str">
        <f aca="false">TRIM(MID(C36,FIND(",",C36)+1,5))</f>
        <v>W</v>
      </c>
      <c r="Q36" s="0" t="n">
        <f aca="false">IF(P36="","",_xlfn.XLOOKUP(TRIM(P36),Metallic_Radius_Table!A:A,Metallic_Radius_Table!B:B))</f>
        <v>1.41</v>
      </c>
      <c r="R36" s="0" t="str">
        <f aca="false">IF(G36&gt;=1,   "Ferromagnetic / Ferrimagnetic",   IF(G36&gt;=0.05,      "Paramagnetic / Weakly magnetic",      "Antiferromagnetic / Diamagnetic"))</f>
        <v>Ferromagnetic / Ferrimagnetic</v>
      </c>
      <c r="U36" s="0" t="str">
        <f aca="false">IF(G36&gt;=1,
   "FM → PM (Curie-type)",
   IF(G36&lt;0.05,
      "AFM → PM (Néel-type)",
      "No long-range magnetic transition"))</f>
        <v>FM → PM (Curie-type)</v>
      </c>
    </row>
    <row r="37" customFormat="false" ht="13.8" hidden="false" customHeight="false" outlineLevel="0" collapsed="false">
      <c r="A37" s="0" t="s">
        <v>1002</v>
      </c>
      <c r="B37" s="0" t="s">
        <v>1003</v>
      </c>
      <c r="C37" s="0" t="s">
        <v>42</v>
      </c>
      <c r="D37" s="0" t="n">
        <v>-1.84738419361111</v>
      </c>
      <c r="E37" s="0" t="n">
        <v>0.002494154583332</v>
      </c>
      <c r="F37" s="0" t="n">
        <v>1.23329999999999</v>
      </c>
      <c r="G37" s="0" t="n">
        <v>10.0020799</v>
      </c>
      <c r="H37" s="0" t="s">
        <v>1001</v>
      </c>
      <c r="I37" s="2" t="b">
        <f aca="false">TRUE()</f>
        <v>1</v>
      </c>
      <c r="J37" s="0" t="str">
        <f aca="false">IF(AND(CODE(MID(B37,2,1))&gt;=97,CODE(MID(B37,2,1))&lt;=122),LEFT(B37,2),LEFT(B37,1))</f>
        <v>Fe</v>
      </c>
      <c r="K37" s="0" t="n">
        <f aca="false">IF(J37="","",_xlfn.XLOOKUP(TRIM(J37),Metallic_Radius_Table!A:A,Metallic_Radius_Table!B:B))</f>
        <v>1.26</v>
      </c>
      <c r="L37" s="0" t="str">
        <f aca="false">IF(ISNUMBER(SEARCH("La",B37)),"La",
 IF(ISNUMBER(SEARCH("Nd",B37)),"Nd",
 IF(ISNUMBER(SEARCH("Eu",B37)),"Eu",
 IF(ISNUMBER(SEARCH("Gd",B37)),"Gd",""))))</f>
        <v/>
      </c>
      <c r="M37" s="0" t="str">
        <f aca="false">IF(L37="","",_xlfn.XLOOKUP(TRIM(L37),Metallic_Radius_Table!A:A,Metallic_Radius_Table!B:B))</f>
        <v/>
      </c>
      <c r="N37" s="0" t="str">
        <f aca="false">TRIM(LEFT(C37,FIND(",",C37)-1))</f>
        <v>Fe</v>
      </c>
      <c r="O37" s="3" t="n">
        <f aca="false">IF(N37="","",_xlfn.XLOOKUP(TRIM(N37),Metallic_Radius_Table!A:A,Metallic_Radius_Table!B:B))</f>
        <v>1.26</v>
      </c>
      <c r="P37" s="0" t="str">
        <f aca="false">TRIM(MID(C37,FIND(",",C37)+1,5))</f>
        <v>Mo</v>
      </c>
      <c r="Q37" s="0" t="n">
        <f aca="false">IF(P37="","",_xlfn.XLOOKUP(TRIM(P37),Metallic_Radius_Table!A:A,Metallic_Radius_Table!B:B))</f>
        <v>1.39</v>
      </c>
      <c r="R37" s="0" t="str">
        <f aca="false">IF(G37&gt;=1,   "Ferromagnetic / Ferrimagnetic",   IF(G37&gt;=0.05,      "Paramagnetic / Weakly magnetic",      "Antiferromagnetic / Diamagnetic"))</f>
        <v>Ferromagnetic / Ferrimagnetic</v>
      </c>
      <c r="U37" s="0" t="str">
        <f aca="false">IF(G37&gt;=1,
   "FM → PM (Curie-type)",
   IF(G37&lt;0.05,
      "AFM → PM (Néel-type)",
      "No long-range magnetic transition"))</f>
        <v>FM → PM (Curie-type)</v>
      </c>
    </row>
    <row r="38" customFormat="false" ht="13.8" hidden="false" customHeight="false" outlineLevel="0" collapsed="false">
      <c r="A38" s="0" t="s">
        <v>1004</v>
      </c>
      <c r="B38" s="0" t="s">
        <v>1005</v>
      </c>
      <c r="C38" s="0" t="s">
        <v>260</v>
      </c>
      <c r="D38" s="0" t="n">
        <v>-2.25454823289473</v>
      </c>
      <c r="E38" s="0" t="n">
        <v>0.183186337154612</v>
      </c>
      <c r="F38" s="0" t="n">
        <v>0.4194</v>
      </c>
      <c r="G38" s="0" t="n">
        <v>6.0012266</v>
      </c>
      <c r="H38" s="0" t="s">
        <v>58</v>
      </c>
      <c r="I38" s="2" t="b">
        <f aca="false">TRUE()</f>
        <v>1</v>
      </c>
      <c r="J38" s="0" t="str">
        <f aca="false">IF(AND(CODE(MID(B38,2,1))&gt;=97,CODE(MID(B38,2,1))&lt;=122),LEFT(B38,2),LEFT(B38,1))</f>
        <v>La</v>
      </c>
      <c r="K38" s="0" t="n">
        <f aca="false">IF(J38="","",_xlfn.XLOOKUP(TRIM(J38),Metallic_Radius_Table!A:A,Metallic_Radius_Table!B:B))</f>
        <v>1.87</v>
      </c>
      <c r="L38" s="0" t="str">
        <f aca="false">IF(ISNUMBER(SEARCH("La",B38)),"La",
 IF(ISNUMBER(SEARCH("Nd",B38)),"Nd",
 IF(ISNUMBER(SEARCH("Eu",B38)),"Eu",
 IF(ISNUMBER(SEARCH("Gd",B38)),"Gd",""))))</f>
        <v>La</v>
      </c>
      <c r="M38" s="0" t="n">
        <f aca="false">IF(L38="","",_xlfn.XLOOKUP(TRIM(L38),Metallic_Radius_Table!A:A,Metallic_Radius_Table!B:B))</f>
        <v>1.87</v>
      </c>
      <c r="N38" s="0" t="str">
        <f aca="false">TRIM(LEFT(C38,FIND(",",C38)-1))</f>
        <v>Cr</v>
      </c>
      <c r="O38" s="3" t="n">
        <f aca="false">IF(N38="","",_xlfn.XLOOKUP(TRIM(N38),Metallic_Radius_Table!A:A,Metallic_Radius_Table!B:B))</f>
        <v>1.28</v>
      </c>
      <c r="P38" s="0" t="str">
        <f aca="false">TRIM(MID(C38,FIND(",",C38)+1,5))</f>
        <v>Co</v>
      </c>
      <c r="Q38" s="0" t="n">
        <f aca="false">IF(P38="","",_xlfn.XLOOKUP(TRIM(P38),Metallic_Radius_Table!A:A,Metallic_Radius_Table!B:B))</f>
        <v>1.25</v>
      </c>
      <c r="R38" s="0" t="str">
        <f aca="false">IF(G38&gt;=1,   "Ferromagnetic / Ferrimagnetic",   IF(G38&gt;=0.05,      "Paramagnetic / Weakly magnetic",      "Antiferromagnetic / Diamagnetic"))</f>
        <v>Ferromagnetic / Ferrimagnetic</v>
      </c>
      <c r="U38" s="0" t="str">
        <f aca="false">IF(G38&gt;=1,
   "FM → PM (Curie-type)",
   IF(G38&lt;0.05,
      "AFM → PM (Néel-type)",
      "No long-range magnetic transition"))</f>
        <v>FM → PM (Curie-type)</v>
      </c>
    </row>
    <row r="39" customFormat="false" ht="13.8" hidden="false" customHeight="false" outlineLevel="0" collapsed="false">
      <c r="A39" s="0" t="s">
        <v>1006</v>
      </c>
      <c r="B39" s="0" t="s">
        <v>1007</v>
      </c>
      <c r="C39" s="0" t="s">
        <v>42</v>
      </c>
      <c r="D39" s="0" t="n">
        <v>-2.48623667552631</v>
      </c>
      <c r="E39" s="0" t="n">
        <v>0.135842175789468</v>
      </c>
      <c r="F39" s="0" t="n">
        <v>1.0145</v>
      </c>
      <c r="G39" s="0" t="n">
        <v>10.0031727</v>
      </c>
      <c r="H39" s="0" t="s">
        <v>58</v>
      </c>
      <c r="I39" s="2" t="b">
        <f aca="false">TRUE()</f>
        <v>1</v>
      </c>
      <c r="J39" s="0" t="str">
        <f aca="false">IF(AND(CODE(MID(B39,2,1))&gt;=97,CODE(MID(B39,2,1))&lt;=122),LEFT(B39,2),LEFT(B39,1))</f>
        <v>La</v>
      </c>
      <c r="K39" s="0" t="n">
        <f aca="false">IF(J39="","",_xlfn.XLOOKUP(TRIM(J39),Metallic_Radius_Table!A:A,Metallic_Radius_Table!B:B))</f>
        <v>1.87</v>
      </c>
      <c r="L39" s="0" t="str">
        <f aca="false">IF(ISNUMBER(SEARCH("La",B39)),"La",
 IF(ISNUMBER(SEARCH("Nd",B39)),"Nd",
 IF(ISNUMBER(SEARCH("Eu",B39)),"Eu",
 IF(ISNUMBER(SEARCH("Gd",B39)),"Gd",""))))</f>
        <v>La</v>
      </c>
      <c r="M39" s="0" t="n">
        <f aca="false">IF(L39="","",_xlfn.XLOOKUP(TRIM(L39),Metallic_Radius_Table!A:A,Metallic_Radius_Table!B:B))</f>
        <v>1.87</v>
      </c>
      <c r="N39" s="0" t="str">
        <f aca="false">TRIM(LEFT(C39,FIND(",",C39)-1))</f>
        <v>Fe</v>
      </c>
      <c r="O39" s="3" t="n">
        <f aca="false">IF(N39="","",_xlfn.XLOOKUP(TRIM(N39),Metallic_Radius_Table!A:A,Metallic_Radius_Table!B:B))</f>
        <v>1.26</v>
      </c>
      <c r="P39" s="0" t="str">
        <f aca="false">TRIM(MID(C39,FIND(",",C39)+1,5))</f>
        <v>Mo</v>
      </c>
      <c r="Q39" s="0" t="n">
        <f aca="false">IF(P39="","",_xlfn.XLOOKUP(TRIM(P39),Metallic_Radius_Table!A:A,Metallic_Radius_Table!B:B))</f>
        <v>1.39</v>
      </c>
      <c r="R39" s="0" t="str">
        <f aca="false">IF(G39&gt;=1,   "Ferromagnetic / Ferrimagnetic",   IF(G39&gt;=0.05,      "Paramagnetic / Weakly magnetic",      "Antiferromagnetic / Diamagnetic"))</f>
        <v>Ferromagnetic / Ferrimagnetic</v>
      </c>
      <c r="U39" s="0" t="str">
        <f aca="false">IF(G39&gt;=1,
   "FM → PM (Curie-type)",
   IF(G39&lt;0.05,
      "AFM → PM (Néel-type)",
      "No long-range magnetic transition"))</f>
        <v>FM → PM (Curie-type)</v>
      </c>
    </row>
    <row r="40" customFormat="false" ht="13.8" hidden="false" customHeight="false" outlineLevel="0" collapsed="false">
      <c r="A40" s="0" t="s">
        <v>1008</v>
      </c>
      <c r="B40" s="0" t="s">
        <v>1009</v>
      </c>
      <c r="C40" s="0" t="s">
        <v>53</v>
      </c>
      <c r="D40" s="0" t="n">
        <v>-2.57339569552631</v>
      </c>
      <c r="E40" s="0" t="n">
        <v>0.113999040921052</v>
      </c>
      <c r="F40" s="0" t="n">
        <v>1.4957</v>
      </c>
      <c r="G40" s="0" t="n">
        <v>7.9999999</v>
      </c>
      <c r="H40" s="0" t="s">
        <v>58</v>
      </c>
      <c r="I40" s="2" t="b">
        <f aca="false">TRUE()</f>
        <v>1</v>
      </c>
      <c r="J40" s="0" t="str">
        <f aca="false">IF(AND(CODE(MID(B40,2,1))&gt;=97,CODE(MID(B40,2,1))&lt;=122),LEFT(B40,2),LEFT(B40,1))</f>
        <v>La</v>
      </c>
      <c r="K40" s="0" t="n">
        <f aca="false">IF(J40="","",_xlfn.XLOOKUP(TRIM(J40),Metallic_Radius_Table!A:A,Metallic_Radius_Table!B:B))</f>
        <v>1.87</v>
      </c>
      <c r="L40" s="0" t="str">
        <f aca="false">IF(ISNUMBER(SEARCH("La",B40)),"La",
 IF(ISNUMBER(SEARCH("Nd",B40)),"Nd",
 IF(ISNUMBER(SEARCH("Eu",B40)),"Eu",
 IF(ISNUMBER(SEARCH("Gd",B40)),"Gd",""))))</f>
        <v>La</v>
      </c>
      <c r="M40" s="0" t="n">
        <f aca="false">IF(L40="","",_xlfn.XLOOKUP(TRIM(L40),Metallic_Radius_Table!A:A,Metallic_Radius_Table!B:B))</f>
        <v>1.87</v>
      </c>
      <c r="N40" s="0" t="str">
        <f aca="false">TRIM(LEFT(C40,FIND(",",C40)-1))</f>
        <v>Fe</v>
      </c>
      <c r="O40" s="3" t="n">
        <f aca="false">IF(N40="","",_xlfn.XLOOKUP(TRIM(N40),Metallic_Radius_Table!A:A,Metallic_Radius_Table!B:B))</f>
        <v>1.26</v>
      </c>
      <c r="P40" s="0" t="str">
        <f aca="false">TRIM(MID(C40,FIND(",",C40)+1,5))</f>
        <v>W</v>
      </c>
      <c r="Q40" s="0" t="n">
        <f aca="false">IF(P40="","",_xlfn.XLOOKUP(TRIM(P40),Metallic_Radius_Table!A:A,Metallic_Radius_Table!B:B))</f>
        <v>1.41</v>
      </c>
      <c r="R40" s="0" t="str">
        <f aca="false">IF(G40&gt;=1,   "Ferromagnetic / Ferrimagnetic",   IF(G40&gt;=0.05,      "Paramagnetic / Weakly magnetic",      "Antiferromagnetic / Diamagnetic"))</f>
        <v>Ferromagnetic / Ferrimagnetic</v>
      </c>
      <c r="U40" s="0" t="str">
        <f aca="false">IF(G40&gt;=1,
   "FM → PM (Curie-type)",
   IF(G40&lt;0.05,
      "AFM → PM (Néel-type)",
      "No long-range magnetic transition"))</f>
        <v>FM → PM (Curie-type)</v>
      </c>
    </row>
    <row r="41" customFormat="false" ht="13.8" hidden="false" customHeight="false" outlineLevel="0" collapsed="false">
      <c r="A41" s="0" t="s">
        <v>1010</v>
      </c>
      <c r="B41" s="0" t="s">
        <v>1009</v>
      </c>
      <c r="C41" s="0" t="s">
        <v>53</v>
      </c>
      <c r="D41" s="0" t="n">
        <v>-2.56476760236842</v>
      </c>
      <c r="E41" s="0" t="n">
        <v>0.122627134078946</v>
      </c>
      <c r="F41" s="0" t="n">
        <v>1.0791</v>
      </c>
      <c r="G41" s="0" t="n">
        <v>9.9999996</v>
      </c>
      <c r="H41" s="0" t="s">
        <v>58</v>
      </c>
      <c r="I41" s="2" t="b">
        <f aca="false">TRUE()</f>
        <v>1</v>
      </c>
      <c r="J41" s="0" t="str">
        <f aca="false">IF(AND(CODE(MID(B41,2,1))&gt;=97,CODE(MID(B41,2,1))&lt;=122),LEFT(B41,2),LEFT(B41,1))</f>
        <v>La</v>
      </c>
      <c r="K41" s="0" t="n">
        <f aca="false">IF(J41="","",_xlfn.XLOOKUP(TRIM(J41),Metallic_Radius_Table!A:A,Metallic_Radius_Table!B:B))</f>
        <v>1.87</v>
      </c>
      <c r="L41" s="0" t="str">
        <f aca="false">IF(ISNUMBER(SEARCH("La",B41)),"La",
 IF(ISNUMBER(SEARCH("Nd",B41)),"Nd",
 IF(ISNUMBER(SEARCH("Eu",B41)),"Eu",
 IF(ISNUMBER(SEARCH("Gd",B41)),"Gd",""))))</f>
        <v>La</v>
      </c>
      <c r="M41" s="0" t="n">
        <f aca="false">IF(L41="","",_xlfn.XLOOKUP(TRIM(L41),Metallic_Radius_Table!A:A,Metallic_Radius_Table!B:B))</f>
        <v>1.87</v>
      </c>
      <c r="N41" s="0" t="str">
        <f aca="false">TRIM(LEFT(C41,FIND(",",C41)-1))</f>
        <v>Fe</v>
      </c>
      <c r="O41" s="3" t="n">
        <f aca="false">IF(N41="","",_xlfn.XLOOKUP(TRIM(N41),Metallic_Radius_Table!A:A,Metallic_Radius_Table!B:B))</f>
        <v>1.26</v>
      </c>
      <c r="P41" s="0" t="str">
        <f aca="false">TRIM(MID(C41,FIND(",",C41)+1,5))</f>
        <v>W</v>
      </c>
      <c r="Q41" s="0" t="n">
        <f aca="false">IF(P41="","",_xlfn.XLOOKUP(TRIM(P41),Metallic_Radius_Table!A:A,Metallic_Radius_Table!B:B))</f>
        <v>1.41</v>
      </c>
      <c r="R41" s="0" t="str">
        <f aca="false">IF(G41&gt;=1,   "Ferromagnetic / Ferrimagnetic",   IF(G41&gt;=0.05,      "Paramagnetic / Weakly magnetic",      "Antiferromagnetic / Diamagnetic"))</f>
        <v>Ferromagnetic / Ferrimagnetic</v>
      </c>
      <c r="U41" s="0" t="str">
        <f aca="false">IF(G41&gt;=1,
   "FM → PM (Curie-type)",
   IF(G41&lt;0.05,
      "AFM → PM (Néel-type)",
      "No long-range magnetic transition"))</f>
        <v>FM → PM (Curie-type)</v>
      </c>
    </row>
    <row r="42" customFormat="false" ht="13.8" hidden="false" customHeight="false" outlineLevel="0" collapsed="false">
      <c r="A42" s="0" t="s">
        <v>1011</v>
      </c>
      <c r="B42" s="0" t="s">
        <v>1012</v>
      </c>
      <c r="C42" s="0" t="s">
        <v>185</v>
      </c>
      <c r="D42" s="0" t="n">
        <v>-3.36454652611024</v>
      </c>
      <c r="E42" s="0" t="n">
        <v>0.043160389318183</v>
      </c>
      <c r="F42" s="0" t="n">
        <v>2.76829999999999</v>
      </c>
      <c r="G42" s="0" t="n">
        <v>0.000332999999999</v>
      </c>
      <c r="H42" s="0" t="s">
        <v>69</v>
      </c>
      <c r="I42" s="2" t="b">
        <f aca="false">TRUE()</f>
        <v>1</v>
      </c>
      <c r="J42" s="0" t="str">
        <f aca="false">IF(AND(CODE(MID(B42,2,1))&gt;=97,CODE(MID(B42,2,1))&lt;=122),LEFT(B42,2),LEFT(B42,1))</f>
        <v>Na</v>
      </c>
      <c r="K42" s="0" t="n">
        <f aca="false">IF(J42="","",_xlfn.XLOOKUP(TRIM(J42),Metallic_Radius_Table!A:A,Metallic_Radius_Table!B:B))</f>
        <v>1.86</v>
      </c>
      <c r="L42" s="0" t="str">
        <f aca="false">IF(ISNUMBER(SEARCH("La",B42)),"La",
 IF(ISNUMBER(SEARCH("Nd",B42)),"Nd",
 IF(ISNUMBER(SEARCH("Eu",B42)),"Eu",
 IF(ISNUMBER(SEARCH("Gd",B42)),"Gd",""))))</f>
        <v>Nd</v>
      </c>
      <c r="M42" s="0" t="n">
        <f aca="false">IF(L42="","",_xlfn.XLOOKUP(TRIM(L42),Metallic_Radius_Table!A:A,Metallic_Radius_Table!B:B))</f>
        <v>1.82</v>
      </c>
      <c r="N42" s="0" t="str">
        <f aca="false">TRIM(LEFT(C42,FIND(",",C42)-1))</f>
        <v>Nb</v>
      </c>
      <c r="O42" s="3" t="n">
        <f aca="false">IF(N42="","",_xlfn.XLOOKUP(TRIM(N42),Metallic_Radius_Table!A:A,Metallic_Radius_Table!B:B))</f>
        <v>1.46</v>
      </c>
      <c r="P42" s="0" t="str">
        <f aca="false">TRIM(MID(C42,FIND(",",C42)+1,5))</f>
        <v>Ti</v>
      </c>
      <c r="Q42" s="0" t="n">
        <f aca="false">IF(P42="","",_xlfn.XLOOKUP(TRIM(P42),Metallic_Radius_Table!A:A,Metallic_Radius_Table!B:B))</f>
        <v>1.47</v>
      </c>
      <c r="R42" s="0" t="str">
        <f aca="false">IF(G42&gt;=1,   "Ferromagnetic / Ferrimagnetic",   IF(G42&gt;=0.05,      "Paramagnetic / Weakly magnetic",      "Antiferromagnetic / Diamagnetic"))</f>
        <v>Antiferromagnetic / Diamagnetic</v>
      </c>
      <c r="U42" s="0" t="str">
        <f aca="false">IF(G42&gt;=1,
   "FM → PM (Curie-type)",
   IF(G42&lt;0.05,
      "AFM → PM (Néel-type)",
      "No long-range magnetic transition"))</f>
        <v>AFM → PM (Néel-type)</v>
      </c>
    </row>
    <row r="43" customFormat="false" ht="13.8" hidden="false" customHeight="false" outlineLevel="0" collapsed="false">
      <c r="A43" s="0" t="s">
        <v>1013</v>
      </c>
      <c r="B43" s="0" t="s">
        <v>1012</v>
      </c>
      <c r="C43" s="0" t="s">
        <v>185</v>
      </c>
      <c r="D43" s="0" t="n">
        <v>-3.36847682247387</v>
      </c>
      <c r="E43" s="0" t="n">
        <v>0.039230092954547</v>
      </c>
      <c r="F43" s="0" t="n">
        <v>2.9335</v>
      </c>
      <c r="G43" s="0" t="n">
        <v>0.0022229</v>
      </c>
      <c r="H43" s="0" t="s">
        <v>1014</v>
      </c>
      <c r="I43" s="2" t="b">
        <f aca="false">TRUE()</f>
        <v>1</v>
      </c>
      <c r="J43" s="0" t="str">
        <f aca="false">IF(AND(CODE(MID(B43,2,1))&gt;=97,CODE(MID(B43,2,1))&lt;=122),LEFT(B43,2),LEFT(B43,1))</f>
        <v>Na</v>
      </c>
      <c r="K43" s="0" t="n">
        <f aca="false">IF(J43="","",_xlfn.XLOOKUP(TRIM(J43),Metallic_Radius_Table!A:A,Metallic_Radius_Table!B:B))</f>
        <v>1.86</v>
      </c>
      <c r="L43" s="0" t="str">
        <f aca="false">IF(ISNUMBER(SEARCH("La",B43)),"La",
 IF(ISNUMBER(SEARCH("Nd",B43)),"Nd",
 IF(ISNUMBER(SEARCH("Eu",B43)),"Eu",
 IF(ISNUMBER(SEARCH("Gd",B43)),"Gd",""))))</f>
        <v>Nd</v>
      </c>
      <c r="M43" s="0" t="n">
        <f aca="false">IF(L43="","",_xlfn.XLOOKUP(TRIM(L43),Metallic_Radius_Table!A:A,Metallic_Radius_Table!B:B))</f>
        <v>1.82</v>
      </c>
      <c r="N43" s="0" t="str">
        <f aca="false">TRIM(LEFT(C43,FIND(",",C43)-1))</f>
        <v>Nb</v>
      </c>
      <c r="O43" s="3" t="n">
        <f aca="false">IF(N43="","",_xlfn.XLOOKUP(TRIM(N43),Metallic_Radius_Table!A:A,Metallic_Radius_Table!B:B))</f>
        <v>1.46</v>
      </c>
      <c r="P43" s="0" t="str">
        <f aca="false">TRIM(MID(C43,FIND(",",C43)+1,5))</f>
        <v>Ti</v>
      </c>
      <c r="Q43" s="0" t="n">
        <f aca="false">IF(P43="","",_xlfn.XLOOKUP(TRIM(P43),Metallic_Radius_Table!A:A,Metallic_Radius_Table!B:B))</f>
        <v>1.47</v>
      </c>
      <c r="R43" s="0" t="str">
        <f aca="false">IF(G43&gt;=1,   "Ferromagnetic / Ferrimagnetic",   IF(G43&gt;=0.05,      "Paramagnetic / Weakly magnetic",      "Antiferromagnetic / Diamagnetic"))</f>
        <v>Antiferromagnetic / Diamagnetic</v>
      </c>
      <c r="U43" s="0" t="str">
        <f aca="false">IF(G43&gt;=1,
   "FM → PM (Curie-type)",
   IF(G43&lt;0.05,
      "AFM → PM (Néel-type)",
      "No long-range magnetic transition"))</f>
        <v>AFM → PM (Néel-type)</v>
      </c>
    </row>
    <row r="44" customFormat="false" ht="13.8" hidden="false" customHeight="false" outlineLevel="0" collapsed="false">
      <c r="A44" s="0" t="s">
        <v>1015</v>
      </c>
      <c r="B44" s="0" t="s">
        <v>1016</v>
      </c>
      <c r="C44" s="0" t="s">
        <v>1017</v>
      </c>
      <c r="D44" s="0" t="n">
        <v>-2.47509273181896</v>
      </c>
      <c r="E44" s="0" t="n">
        <v>0</v>
      </c>
      <c r="F44" s="0" t="n">
        <v>2.1268</v>
      </c>
      <c r="G44" s="0" t="n">
        <v>24.0000184</v>
      </c>
      <c r="H44" s="0" t="s">
        <v>1018</v>
      </c>
      <c r="I44" s="2" t="b">
        <f aca="false">TRUE()</f>
        <v>1</v>
      </c>
      <c r="J44" s="0" t="str">
        <f aca="false">IF(AND(CODE(MID(B44,2,1))&gt;=97,CODE(MID(B44,2,1))&lt;=122),LEFT(B44,2),LEFT(B44,1))</f>
        <v>Na</v>
      </c>
      <c r="K44" s="0" t="n">
        <f aca="false">IF(J44="","",_xlfn.XLOOKUP(TRIM(J44),Metallic_Radius_Table!A:A,Metallic_Radius_Table!B:B))</f>
        <v>1.86</v>
      </c>
      <c r="L44" s="0" t="str">
        <f aca="false">IF(ISNUMBER(SEARCH("La",B44)),"La",
 IF(ISNUMBER(SEARCH("Nd",B44)),"Nd",
 IF(ISNUMBER(SEARCH("Eu",B44)),"Eu",
 IF(ISNUMBER(SEARCH("Gd",B44)),"Gd",""))))</f>
        <v/>
      </c>
      <c r="M44" s="0" t="str">
        <f aca="false">IF(L44="","",_xlfn.XLOOKUP(TRIM(L44),Metallic_Radius_Table!A:A,Metallic_Radius_Table!B:B))</f>
        <v/>
      </c>
      <c r="N44" s="0" t="str">
        <f aca="false">TRIM(LEFT(C44,FIND(",",C44)-1))</f>
        <v>V</v>
      </c>
      <c r="O44" s="3" t="n">
        <f aca="false">IF(N44="","",_xlfn.XLOOKUP(TRIM(N44),Metallic_Radius_Table!A:A,Metallic_Radius_Table!B:B))</f>
        <v>1.34</v>
      </c>
      <c r="P44" s="0" t="str">
        <f aca="false">TRIM(MID(C44,FIND(",",C44)+1,5))</f>
        <v>Co</v>
      </c>
      <c r="Q44" s="0" t="n">
        <f aca="false">IF(P44="","",_xlfn.XLOOKUP(TRIM(P44),Metallic_Radius_Table!A:A,Metallic_Radius_Table!B:B))</f>
        <v>1.25</v>
      </c>
      <c r="R44" s="0" t="str">
        <f aca="false">IF(G44&gt;=1,   "Ferromagnetic / Ferrimagnetic",   IF(G44&gt;=0.05,      "Paramagnetic / Weakly magnetic",      "Antiferromagnetic / Diamagnetic"))</f>
        <v>Ferromagnetic / Ferrimagnetic</v>
      </c>
      <c r="U44" s="0" t="str">
        <f aca="false">IF(G44&gt;=1,
   "FM → PM (Curie-type)",
   IF(G44&lt;0.05,
      "AFM → PM (Néel-type)",
      "No long-range magnetic transition"))</f>
        <v>FM → PM (Curie-type)</v>
      </c>
    </row>
    <row r="45" customFormat="false" ht="13.8" hidden="false" customHeight="false" outlineLevel="0" collapsed="false">
      <c r="A45" s="0" t="s">
        <v>1019</v>
      </c>
      <c r="B45" s="0" t="s">
        <v>1020</v>
      </c>
      <c r="C45" s="0" t="s">
        <v>185</v>
      </c>
      <c r="D45" s="0" t="n">
        <v>-3.21261159770115</v>
      </c>
      <c r="E45" s="0" t="n">
        <v>0.033137061704541</v>
      </c>
      <c r="F45" s="0" t="n">
        <v>0</v>
      </c>
      <c r="G45" s="0" t="n">
        <v>11.9999516</v>
      </c>
      <c r="H45" s="0" t="s">
        <v>69</v>
      </c>
      <c r="I45" s="2" t="b">
        <f aca="false">TRUE()</f>
        <v>1</v>
      </c>
      <c r="J45" s="0" t="str">
        <f aca="false">IF(AND(CODE(MID(B45,2,1))&gt;=97,CODE(MID(B45,2,1))&lt;=122),LEFT(B45,2),LEFT(B45,1))</f>
        <v>Na</v>
      </c>
      <c r="K45" s="0" t="n">
        <f aca="false">IF(J45="","",_xlfn.XLOOKUP(TRIM(J45),Metallic_Radius_Table!A:A,Metallic_Radius_Table!B:B))</f>
        <v>1.86</v>
      </c>
      <c r="L45" s="0" t="str">
        <f aca="false">IF(ISNUMBER(SEARCH("La",B45)),"La",
 IF(ISNUMBER(SEARCH("Nd",B45)),"Nd",
 IF(ISNUMBER(SEARCH("Eu",B45)),"Eu",
 IF(ISNUMBER(SEARCH("Gd",B45)),"Gd",""))))</f>
        <v>Eu</v>
      </c>
      <c r="M45" s="0" t="n">
        <f aca="false">IF(L45="","",_xlfn.XLOOKUP(TRIM(L45),Metallic_Radius_Table!A:A,Metallic_Radius_Table!B:B))</f>
        <v>1.99</v>
      </c>
      <c r="N45" s="0" t="str">
        <f aca="false">TRIM(LEFT(C45,FIND(",",C45)-1))</f>
        <v>Nb</v>
      </c>
      <c r="O45" s="3" t="n">
        <f aca="false">IF(N45="","",_xlfn.XLOOKUP(TRIM(N45),Metallic_Radius_Table!A:A,Metallic_Radius_Table!B:B))</f>
        <v>1.46</v>
      </c>
      <c r="P45" s="0" t="str">
        <f aca="false">TRIM(MID(C45,FIND(",",C45)+1,5))</f>
        <v>Ti</v>
      </c>
      <c r="Q45" s="0" t="n">
        <f aca="false">IF(P45="","",_xlfn.XLOOKUP(TRIM(P45),Metallic_Radius_Table!A:A,Metallic_Radius_Table!B:B))</f>
        <v>1.47</v>
      </c>
      <c r="R45" s="0" t="str">
        <f aca="false">IF(G45&gt;=1,   "Ferromagnetic / Ferrimagnetic",   IF(G45&gt;=0.05,      "Paramagnetic / Weakly magnetic",      "Antiferromagnetic / Diamagnetic"))</f>
        <v>Ferromagnetic / Ferrimagnetic</v>
      </c>
      <c r="U45" s="0" t="str">
        <f aca="false">IF(G45&gt;=1,
   "FM → PM (Curie-type)",
   IF(G45&lt;0.05,
      "AFM → PM (Néel-type)",
      "No long-range magnetic transition"))</f>
        <v>FM → PM (Curie-type)</v>
      </c>
    </row>
    <row r="46" customFormat="false" ht="13.8" hidden="false" customHeight="false" outlineLevel="0" collapsed="false">
      <c r="A46" s="0" t="s">
        <v>1021</v>
      </c>
      <c r="B46" s="0" t="s">
        <v>1020</v>
      </c>
      <c r="C46" s="0" t="s">
        <v>185</v>
      </c>
      <c r="D46" s="0" t="n">
        <v>-3.2159858672466</v>
      </c>
      <c r="E46" s="0" t="n">
        <v>0.029762792159088</v>
      </c>
      <c r="F46" s="0" t="n">
        <v>0</v>
      </c>
      <c r="G46" s="0" t="n">
        <v>23.9993352</v>
      </c>
      <c r="H46" s="0" t="s">
        <v>1022</v>
      </c>
      <c r="I46" s="2" t="b">
        <f aca="false">TRUE()</f>
        <v>1</v>
      </c>
      <c r="J46" s="0" t="str">
        <f aca="false">IF(AND(CODE(MID(B46,2,1))&gt;=97,CODE(MID(B46,2,1))&lt;=122),LEFT(B46,2),LEFT(B46,1))</f>
        <v>Na</v>
      </c>
      <c r="K46" s="0" t="n">
        <f aca="false">IF(J46="","",_xlfn.XLOOKUP(TRIM(J46),Metallic_Radius_Table!A:A,Metallic_Radius_Table!B:B))</f>
        <v>1.86</v>
      </c>
      <c r="L46" s="0" t="str">
        <f aca="false">IF(ISNUMBER(SEARCH("La",B46)),"La",
 IF(ISNUMBER(SEARCH("Nd",B46)),"Nd",
 IF(ISNUMBER(SEARCH("Eu",B46)),"Eu",
 IF(ISNUMBER(SEARCH("Gd",B46)),"Gd",""))))</f>
        <v>Eu</v>
      </c>
      <c r="M46" s="0" t="n">
        <f aca="false">IF(L46="","",_xlfn.XLOOKUP(TRIM(L46),Metallic_Radius_Table!A:A,Metallic_Radius_Table!B:B))</f>
        <v>1.99</v>
      </c>
      <c r="N46" s="0" t="str">
        <f aca="false">TRIM(LEFT(C46,FIND(",",C46)-1))</f>
        <v>Nb</v>
      </c>
      <c r="O46" s="3" t="n">
        <f aca="false">IF(N46="","",_xlfn.XLOOKUP(TRIM(N46),Metallic_Radius_Table!A:A,Metallic_Radius_Table!B:B))</f>
        <v>1.46</v>
      </c>
      <c r="P46" s="0" t="str">
        <f aca="false">TRIM(MID(C46,FIND(",",C46)+1,5))</f>
        <v>Ti</v>
      </c>
      <c r="Q46" s="0" t="n">
        <f aca="false">IF(P46="","",_xlfn.XLOOKUP(TRIM(P46),Metallic_Radius_Table!A:A,Metallic_Radius_Table!B:B))</f>
        <v>1.47</v>
      </c>
      <c r="R46" s="0" t="str">
        <f aca="false">IF(G46&gt;=1,   "Ferromagnetic / Ferrimagnetic",   IF(G46&gt;=0.05,      "Paramagnetic / Weakly magnetic",      "Antiferromagnetic / Diamagnetic"))</f>
        <v>Ferromagnetic / Ferrimagnetic</v>
      </c>
      <c r="U46" s="0" t="str">
        <f aca="false">IF(G46&gt;=1,
   "FM → PM (Curie-type)",
   IF(G46&lt;0.05,
      "AFM → PM (Néel-type)",
      "No long-range magnetic transition"))</f>
        <v>FM → PM (Curie-type)</v>
      </c>
    </row>
    <row r="47" customFormat="false" ht="13.8" hidden="false" customHeight="false" outlineLevel="0" collapsed="false">
      <c r="A47" s="0" t="s">
        <v>1023</v>
      </c>
      <c r="B47" s="0" t="s">
        <v>1024</v>
      </c>
      <c r="C47" s="0" t="s">
        <v>185</v>
      </c>
      <c r="D47" s="0" t="n">
        <v>-3.3611233572466</v>
      </c>
      <c r="E47" s="0" t="n">
        <v>0.052934899772724</v>
      </c>
      <c r="F47" s="0" t="n">
        <v>0</v>
      </c>
      <c r="G47" s="0" t="n">
        <v>14.0000001</v>
      </c>
      <c r="H47" s="0" t="s">
        <v>69</v>
      </c>
      <c r="I47" s="2" t="b">
        <f aca="false">TRUE()</f>
        <v>1</v>
      </c>
      <c r="J47" s="0" t="str">
        <f aca="false">IF(AND(CODE(MID(B47,2,1))&gt;=97,CODE(MID(B47,2,1))&lt;=122),LEFT(B47,2),LEFT(B47,1))</f>
        <v>Na</v>
      </c>
      <c r="K47" s="0" t="n">
        <f aca="false">IF(J47="","",_xlfn.XLOOKUP(TRIM(J47),Metallic_Radius_Table!A:A,Metallic_Radius_Table!B:B))</f>
        <v>1.86</v>
      </c>
      <c r="L47" s="0" t="str">
        <f aca="false">IF(ISNUMBER(SEARCH("La",B47)),"La",
 IF(ISNUMBER(SEARCH("Nd",B47)),"Nd",
 IF(ISNUMBER(SEARCH("Eu",B47)),"Eu",
 IF(ISNUMBER(SEARCH("Gd",B47)),"Gd",""))))</f>
        <v>Gd</v>
      </c>
      <c r="M47" s="0" t="n">
        <f aca="false">IF(L47="","",_xlfn.XLOOKUP(TRIM(L47),Metallic_Radius_Table!A:A,Metallic_Radius_Table!B:B))</f>
        <v>1.8</v>
      </c>
      <c r="N47" s="0" t="str">
        <f aca="false">TRIM(LEFT(C47,FIND(",",C47)-1))</f>
        <v>Nb</v>
      </c>
      <c r="O47" s="3" t="n">
        <f aca="false">IF(N47="","",_xlfn.XLOOKUP(TRIM(N47),Metallic_Radius_Table!A:A,Metallic_Radius_Table!B:B))</f>
        <v>1.46</v>
      </c>
      <c r="P47" s="0" t="str">
        <f aca="false">TRIM(MID(C47,FIND(",",C47)+1,5))</f>
        <v>Ti</v>
      </c>
      <c r="Q47" s="0" t="n">
        <f aca="false">IF(P47="","",_xlfn.XLOOKUP(TRIM(P47),Metallic_Radius_Table!A:A,Metallic_Radius_Table!B:B))</f>
        <v>1.47</v>
      </c>
      <c r="R47" s="0" t="str">
        <f aca="false">IF(G47&gt;=1,   "Ferromagnetic / Ferrimagnetic",   IF(G47&gt;=0.05,      "Paramagnetic / Weakly magnetic",      "Antiferromagnetic / Diamagnetic"))</f>
        <v>Ferromagnetic / Ferrimagnetic</v>
      </c>
      <c r="U47" s="0" t="str">
        <f aca="false">IF(G47&gt;=1,
   "FM → PM (Curie-type)",
   IF(G47&lt;0.05,
      "AFM → PM (Néel-type)",
      "No long-range magnetic transition"))</f>
        <v>FM → PM (Curie-type)</v>
      </c>
    </row>
    <row r="48" customFormat="false" ht="13.8" hidden="false" customHeight="false" outlineLevel="0" collapsed="false">
      <c r="A48" s="0" t="s">
        <v>1025</v>
      </c>
      <c r="B48" s="0" t="s">
        <v>1024</v>
      </c>
      <c r="C48" s="0" t="s">
        <v>185</v>
      </c>
      <c r="D48" s="0" t="n">
        <v>-3.36653732133751</v>
      </c>
      <c r="E48" s="0" t="n">
        <v>0.047520935681815</v>
      </c>
      <c r="F48" s="0" t="n">
        <v>2.41829999999999</v>
      </c>
      <c r="G48" s="0" t="n">
        <v>27.9988155</v>
      </c>
      <c r="H48" s="0" t="s">
        <v>1022</v>
      </c>
      <c r="I48" s="2" t="b">
        <f aca="false">TRUE()</f>
        <v>1</v>
      </c>
      <c r="J48" s="0" t="str">
        <f aca="false">IF(AND(CODE(MID(B48,2,1))&gt;=97,CODE(MID(B48,2,1))&lt;=122),LEFT(B48,2),LEFT(B48,1))</f>
        <v>Na</v>
      </c>
      <c r="K48" s="0" t="n">
        <f aca="false">IF(J48="","",_xlfn.XLOOKUP(TRIM(J48),Metallic_Radius_Table!A:A,Metallic_Radius_Table!B:B))</f>
        <v>1.86</v>
      </c>
      <c r="L48" s="0" t="str">
        <f aca="false">IF(ISNUMBER(SEARCH("La",B48)),"La",
 IF(ISNUMBER(SEARCH("Nd",B48)),"Nd",
 IF(ISNUMBER(SEARCH("Eu",B48)),"Eu",
 IF(ISNUMBER(SEARCH("Gd",B48)),"Gd",""))))</f>
        <v>Gd</v>
      </c>
      <c r="M48" s="0" t="n">
        <f aca="false">IF(L48="","",_xlfn.XLOOKUP(TRIM(L48),Metallic_Radius_Table!A:A,Metallic_Radius_Table!B:B))</f>
        <v>1.8</v>
      </c>
      <c r="N48" s="0" t="str">
        <f aca="false">TRIM(LEFT(C48,FIND(",",C48)-1))</f>
        <v>Nb</v>
      </c>
      <c r="O48" s="3" t="n">
        <f aca="false">IF(N48="","",_xlfn.XLOOKUP(TRIM(N48),Metallic_Radius_Table!A:A,Metallic_Radius_Table!B:B))</f>
        <v>1.46</v>
      </c>
      <c r="P48" s="0" t="str">
        <f aca="false">TRIM(MID(C48,FIND(",",C48)+1,5))</f>
        <v>Ti</v>
      </c>
      <c r="Q48" s="0" t="n">
        <f aca="false">IF(P48="","",_xlfn.XLOOKUP(TRIM(P48),Metallic_Radius_Table!A:A,Metallic_Radius_Table!B:B))</f>
        <v>1.47</v>
      </c>
      <c r="R48" s="0" t="str">
        <f aca="false">IF(G48&gt;=1,   "Ferromagnetic / Ferrimagnetic",   IF(G48&gt;=0.05,      "Paramagnetic / Weakly magnetic",      "Antiferromagnetic / Diamagnetic"))</f>
        <v>Ferromagnetic / Ferrimagnetic</v>
      </c>
      <c r="U48" s="0" t="str">
        <f aca="false">IF(G48&gt;=1,
   "FM → PM (Curie-type)",
   IF(G48&lt;0.05,
      "AFM → PM (Néel-type)",
      "No long-range magnetic transition"))</f>
        <v>FM → PM (Curie-type)</v>
      </c>
    </row>
    <row r="49" customFormat="false" ht="13.8" hidden="false" customHeight="false" outlineLevel="0" collapsed="false">
      <c r="A49" s="0" t="s">
        <v>1026</v>
      </c>
      <c r="B49" s="0" t="s">
        <v>1027</v>
      </c>
      <c r="C49" s="0" t="s">
        <v>185</v>
      </c>
      <c r="D49" s="0" t="n">
        <v>-3.3032447655303</v>
      </c>
      <c r="E49" s="0" t="n">
        <v>0.129362085833326</v>
      </c>
      <c r="F49" s="0" t="n">
        <v>1.0761</v>
      </c>
      <c r="G49" s="4" t="n">
        <v>8.9E-006</v>
      </c>
      <c r="H49" s="0" t="s">
        <v>377</v>
      </c>
      <c r="I49" s="2" t="b">
        <f aca="false">TRUE()</f>
        <v>1</v>
      </c>
      <c r="J49" s="0" t="str">
        <f aca="false">IF(AND(CODE(MID(B49,2,1))&gt;=97,CODE(MID(B49,2,1))&lt;=122),LEFT(B49,2),LEFT(B49,1))</f>
        <v>Rb</v>
      </c>
      <c r="K49" s="0" t="n">
        <f aca="false">IF(J49="","",_xlfn.XLOOKUP(TRIM(J49),Metallic_Radius_Table!A:A,Metallic_Radius_Table!B:B))</f>
        <v>2.48</v>
      </c>
      <c r="L49" s="0" t="str">
        <f aca="false">IF(ISNUMBER(SEARCH("La",B49)),"La",
 IF(ISNUMBER(SEARCH("Nd",B49)),"Nd",
 IF(ISNUMBER(SEARCH("Eu",B49)),"Eu",
 IF(ISNUMBER(SEARCH("Gd",B49)),"Gd",""))))</f>
        <v>La</v>
      </c>
      <c r="M49" s="0" t="n">
        <f aca="false">IF(L49="","",_xlfn.XLOOKUP(TRIM(L49),Metallic_Radius_Table!A:A,Metallic_Radius_Table!B:B))</f>
        <v>1.87</v>
      </c>
      <c r="N49" s="0" t="str">
        <f aca="false">TRIM(LEFT(C49,FIND(",",C49)-1))</f>
        <v>Nb</v>
      </c>
      <c r="O49" s="3" t="n">
        <f aca="false">IF(N49="","",_xlfn.XLOOKUP(TRIM(N49),Metallic_Radius_Table!A:A,Metallic_Radius_Table!B:B))</f>
        <v>1.46</v>
      </c>
      <c r="P49" s="0" t="str">
        <f aca="false">TRIM(MID(C49,FIND(",",C49)+1,5))</f>
        <v>Ti</v>
      </c>
      <c r="Q49" s="0" t="n">
        <f aca="false">IF(P49="","",_xlfn.XLOOKUP(TRIM(P49),Metallic_Radius_Table!A:A,Metallic_Radius_Table!B:B))</f>
        <v>1.47</v>
      </c>
      <c r="R49" s="0" t="str">
        <f aca="false">IF(G49&gt;=1,   "Ferromagnetic / Ferrimagnetic",   IF(G49&gt;=0.05,      "Paramagnetic / Weakly magnetic",      "Antiferromagnetic / Diamagnetic"))</f>
        <v>Antiferromagnetic / Diamagnetic</v>
      </c>
      <c r="U49" s="0" t="str">
        <f aca="false">IF(G49&gt;=1,
   "FM → PM (Curie-type)",
   IF(G49&lt;0.05,
      "AFM → PM (Néel-type)",
      "No long-range magnetic transition"))</f>
        <v>AFM → PM (Néel-type)</v>
      </c>
    </row>
    <row r="50" customFormat="false" ht="13.8" hidden="false" customHeight="false" outlineLevel="0" collapsed="false">
      <c r="A50" s="0" t="s">
        <v>1028</v>
      </c>
      <c r="B50" s="0" t="s">
        <v>1029</v>
      </c>
      <c r="C50" s="0" t="s">
        <v>185</v>
      </c>
      <c r="D50" s="0" t="n">
        <v>-3.36445522212121</v>
      </c>
      <c r="E50" s="0" t="n">
        <v>0.043562876331174</v>
      </c>
      <c r="F50" s="0" t="n">
        <v>1.85229999999999</v>
      </c>
      <c r="G50" s="0" t="n">
        <v>0.0011275</v>
      </c>
      <c r="H50" s="0" t="s">
        <v>193</v>
      </c>
      <c r="I50" s="2" t="b">
        <f aca="false">TRUE()</f>
        <v>1</v>
      </c>
      <c r="J50" s="0" t="str">
        <f aca="false">IF(AND(CODE(MID(B50,2,1))&gt;=97,CODE(MID(B50,2,1))&lt;=122),LEFT(B50,2),LEFT(B50,1))</f>
        <v>Rb</v>
      </c>
      <c r="K50" s="0" t="n">
        <f aca="false">IF(J50="","",_xlfn.XLOOKUP(TRIM(J50),Metallic_Radius_Table!A:A,Metallic_Radius_Table!B:B))</f>
        <v>2.48</v>
      </c>
      <c r="L50" s="0" t="str">
        <f aca="false">IF(ISNUMBER(SEARCH("La",B50)),"La",
 IF(ISNUMBER(SEARCH("Nd",B50)),"Nd",
 IF(ISNUMBER(SEARCH("Eu",B50)),"Eu",
 IF(ISNUMBER(SEARCH("Gd",B50)),"Gd",""))))</f>
        <v>Nd</v>
      </c>
      <c r="M50" s="0" t="n">
        <f aca="false">IF(L50="","",_xlfn.XLOOKUP(TRIM(L50),Metallic_Radius_Table!A:A,Metallic_Radius_Table!B:B))</f>
        <v>1.82</v>
      </c>
      <c r="N50" s="0" t="str">
        <f aca="false">TRIM(LEFT(C50,FIND(",",C50)-1))</f>
        <v>Nb</v>
      </c>
      <c r="O50" s="3" t="n">
        <f aca="false">IF(N50="","",_xlfn.XLOOKUP(TRIM(N50),Metallic_Radius_Table!A:A,Metallic_Radius_Table!B:B))</f>
        <v>1.46</v>
      </c>
      <c r="P50" s="0" t="str">
        <f aca="false">TRIM(MID(C50,FIND(",",C50)+1,5))</f>
        <v>Ti</v>
      </c>
      <c r="Q50" s="0" t="n">
        <f aca="false">IF(P50="","",_xlfn.XLOOKUP(TRIM(P50),Metallic_Radius_Table!A:A,Metallic_Radius_Table!B:B))</f>
        <v>1.47</v>
      </c>
      <c r="R50" s="0" t="str">
        <f aca="false">IF(G50&gt;=1,   "Ferromagnetic / Ferrimagnetic",   IF(G50&gt;=0.05,      "Paramagnetic / Weakly magnetic",      "Antiferromagnetic / Diamagnetic"))</f>
        <v>Antiferromagnetic / Diamagnetic</v>
      </c>
      <c r="U50" s="0" t="str">
        <f aca="false">IF(G50&gt;=1,
   "FM → PM (Curie-type)",
   IF(G50&lt;0.05,
      "AFM → PM (Néel-type)",
      "No long-range magnetic transition"))</f>
        <v>AFM → PM (Néel-type)</v>
      </c>
    </row>
    <row r="51" customFormat="false" ht="13.8" hidden="false" customHeight="false" outlineLevel="0" collapsed="false">
      <c r="A51" s="0" t="s">
        <v>1030</v>
      </c>
      <c r="B51" s="0" t="s">
        <v>1031</v>
      </c>
      <c r="C51" s="0" t="s">
        <v>913</v>
      </c>
      <c r="D51" s="0" t="n">
        <v>-2.49308364702734</v>
      </c>
      <c r="E51" s="0" t="n">
        <v>0.082007300640395</v>
      </c>
      <c r="F51" s="0" t="n">
        <v>0</v>
      </c>
      <c r="G51" s="0" t="n">
        <v>24.0000014</v>
      </c>
      <c r="H51" s="0" t="s">
        <v>163</v>
      </c>
      <c r="I51" s="2" t="b">
        <f aca="false">TRUE()</f>
        <v>1</v>
      </c>
      <c r="J51" s="0" t="str">
        <f aca="false">IF(AND(CODE(MID(B51,2,1))&gt;=97,CODE(MID(B51,2,1))&lt;=122),LEFT(B51,2),LEFT(B51,1))</f>
        <v>Y</v>
      </c>
      <c r="K51" s="0" t="n">
        <f aca="false">IF(J51="","",_xlfn.XLOOKUP(TRIM(J51),Metallic_Radius_Table!A:A,Metallic_Radius_Table!B:B))</f>
        <v>1.8</v>
      </c>
      <c r="L51" s="0" t="str">
        <f aca="false">IF(ISNUMBER(SEARCH("La",B51)),"La",
 IF(ISNUMBER(SEARCH("Nd",B51)),"Nd",
 IF(ISNUMBER(SEARCH("Eu",B51)),"Eu",
 IF(ISNUMBER(SEARCH("Gd",B51)),"Gd",""))))</f>
        <v/>
      </c>
      <c r="M51" s="0" t="str">
        <f aca="false">IF(L51="","",_xlfn.XLOOKUP(TRIM(L51),Metallic_Radius_Table!A:A,Metallic_Radius_Table!B:B))</f>
        <v/>
      </c>
      <c r="N51" s="0" t="str">
        <f aca="false">TRIM(LEFT(C51,FIND(",",C51)-1))</f>
        <v>Mn</v>
      </c>
      <c r="O51" s="3" t="n">
        <f aca="false">IF(N51="","",_xlfn.XLOOKUP(TRIM(N51),Metallic_Radius_Table!A:A,Metallic_Radius_Table!B:B))</f>
        <v>1.27</v>
      </c>
      <c r="P51" s="0" t="s">
        <v>914</v>
      </c>
      <c r="Q51" s="0" t="n">
        <f aca="false">IF(P51="","",_xlfn.XLOOKUP(TRIM(P51),Metallic_Radius_Table!A:A,Metallic_Radius_Table!B:B))</f>
        <v>1.24</v>
      </c>
      <c r="R51" s="0" t="str">
        <f aca="false">IF(G51&gt;=1,   "Ferromagnetic / Ferrimagnetic",   IF(G51&gt;=0.05,      "Paramagnetic / Weakly magnetic",      "Antiferromagnetic / Diamagnetic"))</f>
        <v>Ferromagnetic / Ferrimagnetic</v>
      </c>
      <c r="U51" s="0" t="str">
        <f aca="false">IF(G51&gt;=1,
   "FM → PM (Curie-type)",
   IF(G51&lt;0.05,
      "AFM → PM (Néel-type)",
      "No long-range magnetic transition"))</f>
        <v>FM → PM (Curie-type)</v>
      </c>
    </row>
    <row r="52" customFormat="false" ht="13.8" hidden="false" customHeight="false" outlineLevel="0" collapsed="false">
      <c r="A52" s="0" t="s">
        <v>1032</v>
      </c>
      <c r="B52" s="0" t="s">
        <v>1033</v>
      </c>
      <c r="C52" s="0" t="s">
        <v>1034</v>
      </c>
      <c r="D52" s="0" t="n">
        <v>-3.17767802333333</v>
      </c>
      <c r="E52" s="0" t="n">
        <v>0.142741191969699</v>
      </c>
      <c r="F52" s="0" t="n">
        <v>1.3491</v>
      </c>
      <c r="G52" s="4" t="n">
        <v>5.2E-005</v>
      </c>
      <c r="H52" s="0" t="s">
        <v>69</v>
      </c>
      <c r="I52" s="2" t="b">
        <f aca="false">TRUE()</f>
        <v>1</v>
      </c>
      <c r="J52" s="0" t="str">
        <f aca="false">IF(AND(CODE(MID(B52,2,1))&gt;=97,CODE(MID(B52,2,1))&lt;=122),LEFT(B52,2),LEFT(B52,1))</f>
        <v>Y</v>
      </c>
      <c r="K52" s="0" t="n">
        <f aca="false">IF(J52="","",_xlfn.XLOOKUP(TRIM(J52),Metallic_Radius_Table!A:A,Metallic_Radius_Table!B:B))</f>
        <v>1.8</v>
      </c>
      <c r="L52" s="0" t="str">
        <f aca="false">IF(ISNUMBER(SEARCH("La",B52)),"La",
 IF(ISNUMBER(SEARCH("Nd",B52)),"Nd",
 IF(ISNUMBER(SEARCH("Eu",B52)),"Eu",
 IF(ISNUMBER(SEARCH("Gd",B52)),"Gd",""))))</f>
        <v/>
      </c>
      <c r="M52" s="0" t="str">
        <f aca="false">IF(L52="","",_xlfn.XLOOKUP(TRIM(L52),Metallic_Radius_Table!A:A,Metallic_Radius_Table!B:B))</f>
        <v/>
      </c>
      <c r="N52" s="0" t="str">
        <f aca="false">TRIM(LEFT(C52,FIND(",",C52)-1))</f>
        <v>Cd</v>
      </c>
      <c r="O52" s="3" t="n">
        <f aca="false">IF(N52="","",_xlfn.XLOOKUP(TRIM(N52),Metallic_Radius_Table!A:A,Metallic_Radius_Table!B:B))</f>
        <v>1.58</v>
      </c>
      <c r="P52" s="0" t="s">
        <v>1035</v>
      </c>
      <c r="Q52" s="0" t="n">
        <f aca="false">IF(P52="","",_xlfn.XLOOKUP(TRIM(P52),Metallic_Radius_Table!A:A,Metallic_Radius_Table!B:B))</f>
        <v>1.47</v>
      </c>
      <c r="R52" s="0" t="str">
        <f aca="false">IF(G52&gt;=1,   "Ferromagnetic / Ferrimagnetic",   IF(G52&gt;=0.05,      "Paramagnetic / Weakly magnetic",      "Antiferromagnetic / Diamagnetic"))</f>
        <v>Antiferromagnetic / Diamagnetic</v>
      </c>
      <c r="U52" s="0" t="str">
        <f aca="false">IF(G52&gt;=1,
   "FM → PM (Curie-type)",
   IF(G52&lt;0.05,
      "AFM → PM (Néel-type)",
      "No long-range magnetic transition"))</f>
        <v>AFM → PM (Néel-type)</v>
      </c>
    </row>
    <row r="53" customFormat="false" ht="13.8" hidden="false" customHeight="false" outlineLevel="0" collapsed="false">
      <c r="A53" s="0" t="s">
        <v>1036</v>
      </c>
      <c r="B53" s="0" t="s">
        <v>1037</v>
      </c>
      <c r="C53" s="0" t="s">
        <v>1038</v>
      </c>
      <c r="D53" s="0" t="n">
        <v>-3.32405491468</v>
      </c>
      <c r="E53" s="0" t="n">
        <v>0.111608707300002</v>
      </c>
      <c r="F53" s="0" t="n">
        <v>0</v>
      </c>
      <c r="G53" s="0" t="n">
        <v>0.184835499999999</v>
      </c>
      <c r="H53" s="0" t="s">
        <v>28</v>
      </c>
      <c r="I53" s="2" t="b">
        <f aca="false">TRUE()</f>
        <v>1</v>
      </c>
      <c r="J53" s="0" t="str">
        <f aca="false">IF(AND(CODE(MID(B53,2,1))&gt;=97,CODE(MID(B53,2,1))&lt;=122),LEFT(B53,2),LEFT(B53,1))</f>
        <v>Ba</v>
      </c>
      <c r="K53" s="0" t="n">
        <f aca="false">IF(J53="","",_xlfn.XLOOKUP(TRIM(J53),Metallic_Radius_Table!A:A,Metallic_Radius_Table!B:B))</f>
        <v>2.17</v>
      </c>
      <c r="L53" s="0" t="str">
        <f aca="false">IF(ISNUMBER(SEARCH("La",B53)),"La",
 IF(ISNUMBER(SEARCH("Nd",B53)),"Nd",
 IF(ISNUMBER(SEARCH("Eu",B53)),"Eu",
 IF(ISNUMBER(SEARCH("Gd",B53)),"Gd",""))))</f>
        <v/>
      </c>
      <c r="M53" s="0" t="str">
        <f aca="false">IF(L53="","",_xlfn.XLOOKUP(TRIM(L53),Metallic_Radius_Table!A:A,Metallic_Radius_Table!B:B))</f>
        <v/>
      </c>
      <c r="N53" s="0" t="str">
        <f aca="false">TRIM(LEFT(C53,FIND(",",C53)-1))</f>
        <v>Zr</v>
      </c>
      <c r="O53" s="3" t="n">
        <f aca="false">IF(N53="","",_xlfn.XLOOKUP(TRIM(N53),Metallic_Radius_Table!A:A,Metallic_Radius_Table!B:B))</f>
        <v>1.6</v>
      </c>
      <c r="P53" s="0" t="str">
        <f aca="false">TRIM(MID(C53,FIND(",",C53)+1,5))</f>
        <v>Ta</v>
      </c>
      <c r="Q53" s="0" t="n">
        <f aca="false">IF(P53="","",_xlfn.XLOOKUP(TRIM(P53),Metallic_Radius_Table!A:A,Metallic_Radius_Table!B:B))</f>
        <v>1.46</v>
      </c>
      <c r="R53" s="0" t="str">
        <f aca="false">IF(G53&gt;=1,   "Ferromagnetic / Ferrimagnetic",   IF(G53&gt;=0.05,      "Paramagnetic / Weakly magnetic",      "Antiferromagnetic / Diamagnetic"))</f>
        <v>Paramagnetic / Weakly magnetic</v>
      </c>
      <c r="U53" s="0" t="str">
        <f aca="false">IF(G53&gt;=1,
   "FM → PM (Curie-type)",
   IF(G53&lt;0.05,
      "AFM → PM (Néel-type)",
      "No long-range magnetic transition"))</f>
        <v>No long-range magnetic transition</v>
      </c>
    </row>
    <row r="54" customFormat="false" ht="13.8" hidden="false" customHeight="false" outlineLevel="0" collapsed="false">
      <c r="A54" s="0" t="s">
        <v>1039</v>
      </c>
      <c r="B54" s="0" t="s">
        <v>1040</v>
      </c>
      <c r="C54" s="0" t="s">
        <v>1041</v>
      </c>
      <c r="D54" s="0" t="n">
        <v>-3.32393451893333</v>
      </c>
      <c r="E54" s="0" t="n">
        <v>0.012752655224996</v>
      </c>
      <c r="F54" s="0" t="n">
        <v>0</v>
      </c>
      <c r="G54" s="0" t="n">
        <v>1.2721863</v>
      </c>
      <c r="H54" s="0" t="s">
        <v>24</v>
      </c>
      <c r="I54" s="2" t="b">
        <f aca="false">TRUE()</f>
        <v>1</v>
      </c>
      <c r="J54" s="0" t="str">
        <f aca="false">IF(AND(CODE(MID(B54,2,1))&gt;=97,CODE(MID(B54,2,1))&lt;=122),LEFT(B54,2),LEFT(B54,1))</f>
        <v>Ba</v>
      </c>
      <c r="K54" s="0" t="n">
        <f aca="false">IF(J54="","",_xlfn.XLOOKUP(TRIM(J54),Metallic_Radius_Table!A:A,Metallic_Radius_Table!B:B))</f>
        <v>2.17</v>
      </c>
      <c r="L54" s="0" t="str">
        <f aca="false">IF(ISNUMBER(SEARCH("La",B54)),"La",
 IF(ISNUMBER(SEARCH("Nd",B54)),"Nd",
 IF(ISNUMBER(SEARCH("Eu",B54)),"Eu",
 IF(ISNUMBER(SEARCH("Gd",B54)),"Gd",""))))</f>
        <v/>
      </c>
      <c r="M54" s="0" t="str">
        <f aca="false">IF(L54="","",_xlfn.XLOOKUP(TRIM(L54),Metallic_Radius_Table!A:A,Metallic_Radius_Table!B:B))</f>
        <v/>
      </c>
      <c r="N54" s="0" t="str">
        <f aca="false">TRIM(LEFT(C54,FIND(",",C54)-1))</f>
        <v>Nb</v>
      </c>
      <c r="O54" s="3" t="n">
        <f aca="false">IF(N54="","",_xlfn.XLOOKUP(TRIM(N54),Metallic_Radius_Table!A:A,Metallic_Radius_Table!B:B))</f>
        <v>1.46</v>
      </c>
      <c r="P54" s="0" t="s">
        <v>914</v>
      </c>
      <c r="Q54" s="0" t="n">
        <f aca="false">IF(P54="","",_xlfn.XLOOKUP(TRIM(P54),Metallic_Radius_Table!A:A,Metallic_Radius_Table!B:B))</f>
        <v>1.24</v>
      </c>
      <c r="R54" s="0" t="str">
        <f aca="false">IF(G54&gt;=1,   "Ferromagnetic / Ferrimagnetic",   IF(G54&gt;=0.05,      "Paramagnetic / Weakly magnetic",      "Antiferromagnetic / Diamagnetic"))</f>
        <v>Ferromagnetic / Ferrimagnetic</v>
      </c>
      <c r="U54" s="0" t="str">
        <f aca="false">IF(G54&gt;=1,
   "FM → PM (Curie-type)",
   IF(G54&lt;0.05,
      "AFM → PM (Néel-type)",
      "No long-range magnetic transition"))</f>
        <v>FM → PM (Curie-type)</v>
      </c>
    </row>
    <row r="55" customFormat="false" ht="13.8" hidden="false" customHeight="false" outlineLevel="0" collapsed="false">
      <c r="A55" s="0" t="s">
        <v>1042</v>
      </c>
      <c r="B55" s="0" t="s">
        <v>1043</v>
      </c>
      <c r="C55" s="0" t="s">
        <v>198</v>
      </c>
      <c r="D55" s="0" t="n">
        <v>-2.33893109595862</v>
      </c>
      <c r="E55" s="0" t="n">
        <v>0.165031359699981</v>
      </c>
      <c r="F55" s="0" t="n">
        <v>0</v>
      </c>
      <c r="G55" s="0" t="n">
        <v>30.4078121</v>
      </c>
      <c r="H55" s="0" t="s">
        <v>1044</v>
      </c>
      <c r="I55" s="2" t="b">
        <f aca="false">TRUE()</f>
        <v>1</v>
      </c>
      <c r="J55" s="0" t="str">
        <f aca="false">IF(AND(CODE(MID(B55,2,1))&gt;=97,CODE(MID(B55,2,1))&lt;=122),LEFT(B55,2),LEFT(B55,1))</f>
        <v>Ba</v>
      </c>
      <c r="K55" s="0" t="n">
        <f aca="false">IF(J55="","",_xlfn.XLOOKUP(TRIM(J55),Metallic_Radius_Table!A:A,Metallic_Radius_Table!B:B))</f>
        <v>2.17</v>
      </c>
      <c r="L55" s="0" t="str">
        <f aca="false">IF(ISNUMBER(SEARCH("La",B55)),"La",
 IF(ISNUMBER(SEARCH("Nd",B55)),"Nd",
 IF(ISNUMBER(SEARCH("Eu",B55)),"Eu",
 IF(ISNUMBER(SEARCH("Gd",B55)),"Gd",""))))</f>
        <v>La</v>
      </c>
      <c r="M55" s="0" t="n">
        <f aca="false">IF(L55="","",_xlfn.XLOOKUP(TRIM(L55),Metallic_Radius_Table!A:A,Metallic_Radius_Table!B:B))</f>
        <v>1.87</v>
      </c>
      <c r="N55" s="0" t="str">
        <f aca="false">TRIM(LEFT(C55,FIND(",",C55)-1))</f>
        <v>Mn</v>
      </c>
      <c r="O55" s="3" t="n">
        <f aca="false">IF(N55="","",_xlfn.XLOOKUP(TRIM(N55),Metallic_Radius_Table!A:A,Metallic_Radius_Table!B:B))</f>
        <v>1.27</v>
      </c>
      <c r="P55" s="0" t="str">
        <f aca="false">TRIM(MID(C55,FIND(",",C55)+1,5))</f>
        <v>Co</v>
      </c>
      <c r="Q55" s="0" t="n">
        <f aca="false">IF(P55="","",_xlfn.XLOOKUP(TRIM(P55),Metallic_Radius_Table!A:A,Metallic_Radius_Table!B:B))</f>
        <v>1.25</v>
      </c>
      <c r="R55" s="0" t="str">
        <f aca="false">IF(G55&gt;=1,   "Ferromagnetic / Ferrimagnetic",   IF(G55&gt;=0.05,      "Paramagnetic / Weakly magnetic",      "Antiferromagnetic / Diamagnetic"))</f>
        <v>Ferromagnetic / Ferrimagnetic</v>
      </c>
      <c r="U55" s="0" t="str">
        <f aca="false">IF(G55&gt;=1,
   "FM → PM (Curie-type)",
   IF(G55&lt;0.05,
      "AFM → PM (Néel-type)",
      "No long-range magnetic transition"))</f>
        <v>FM → PM (Curie-type)</v>
      </c>
    </row>
    <row r="56" customFormat="false" ht="13.8" hidden="false" customHeight="false" outlineLevel="0" collapsed="false">
      <c r="A56" s="0" t="s">
        <v>1045</v>
      </c>
      <c r="B56" s="0" t="s">
        <v>1046</v>
      </c>
      <c r="C56" s="0" t="s">
        <v>222</v>
      </c>
      <c r="D56" s="0" t="n">
        <v>-3.33834303629629</v>
      </c>
      <c r="E56" s="0" t="n">
        <v>0</v>
      </c>
      <c r="F56" s="0" t="n">
        <v>2.4312</v>
      </c>
      <c r="G56" s="0" t="n">
        <v>3.0030234</v>
      </c>
      <c r="H56" s="0" t="s">
        <v>374</v>
      </c>
      <c r="I56" s="2" t="b">
        <f aca="false">TRUE()</f>
        <v>1</v>
      </c>
      <c r="J56" s="0" t="str">
        <f aca="false">IF(AND(CODE(MID(B56,2,1))&gt;=97,CODE(MID(B56,2,1))&lt;=122),LEFT(B56,2),LEFT(B56,1))</f>
        <v>Ba</v>
      </c>
      <c r="K56" s="0" t="n">
        <f aca="false">IF(J56="","",_xlfn.XLOOKUP(TRIM(J56),Metallic_Radius_Table!A:A,Metallic_Radius_Table!B:B))</f>
        <v>2.17</v>
      </c>
      <c r="L56" s="0" t="str">
        <f aca="false">IF(ISNUMBER(SEARCH("La",B56)),"La",
 IF(ISNUMBER(SEARCH("Nd",B56)),"Nd",
 IF(ISNUMBER(SEARCH("Eu",B56)),"Eu",
 IF(ISNUMBER(SEARCH("Gd",B56)),"Gd",""))))</f>
        <v/>
      </c>
      <c r="M56" s="0" t="str">
        <f aca="false">IF(L56="","",_xlfn.XLOOKUP(TRIM(L56),Metallic_Radius_Table!A:A,Metallic_Radius_Table!B:B))</f>
        <v/>
      </c>
      <c r="N56" s="0" t="str">
        <f aca="false">TRIM(LEFT(C56,FIND(",",C56)-1))</f>
        <v>Co</v>
      </c>
      <c r="O56" s="3" t="n">
        <f aca="false">IF(N56="","",_xlfn.XLOOKUP(TRIM(N56),Metallic_Radius_Table!A:A,Metallic_Radius_Table!B:B))</f>
        <v>1.25</v>
      </c>
      <c r="P56" s="0" t="str">
        <f aca="false">TRIM(MID(C56,FIND(",",C56)+1,5))</f>
        <v>Ta</v>
      </c>
      <c r="Q56" s="0" t="n">
        <f aca="false">IF(P56="","",_xlfn.XLOOKUP(TRIM(P56),Metallic_Radius_Table!A:A,Metallic_Radius_Table!B:B))</f>
        <v>1.46</v>
      </c>
      <c r="R56" s="0" t="str">
        <f aca="false">IF(G56&gt;=1,   "Ferromagnetic / Ferrimagnetic",   IF(G56&gt;=0.05,      "Paramagnetic / Weakly magnetic",      "Antiferromagnetic / Diamagnetic"))</f>
        <v>Ferromagnetic / Ferrimagnetic</v>
      </c>
      <c r="U56" s="0" t="str">
        <f aca="false">IF(G56&gt;=1,
   "FM → PM (Curie-type)",
   IF(G56&lt;0.05,
      "AFM → PM (Néel-type)",
      "No long-range magnetic transition"))</f>
        <v>FM → PM (Curie-type)</v>
      </c>
    </row>
    <row r="57" customFormat="false" ht="13.8" hidden="false" customHeight="false" outlineLevel="0" collapsed="false">
      <c r="A57" s="0" t="s">
        <v>1047</v>
      </c>
      <c r="B57" s="0" t="s">
        <v>1048</v>
      </c>
      <c r="C57" s="0" t="s">
        <v>228</v>
      </c>
      <c r="D57" s="0" t="n">
        <v>-3.35266825274074</v>
      </c>
      <c r="E57" s="0" t="n">
        <v>0</v>
      </c>
      <c r="F57" s="0" t="n">
        <v>2.04069999999999</v>
      </c>
      <c r="G57" s="0" t="n">
        <v>4.0009866</v>
      </c>
      <c r="H57" s="0" t="s">
        <v>374</v>
      </c>
      <c r="I57" s="2" t="b">
        <f aca="false">TRUE()</f>
        <v>1</v>
      </c>
      <c r="J57" s="0" t="str">
        <f aca="false">IF(AND(CODE(MID(B57,2,1))&gt;=97,CODE(MID(B57,2,1))&lt;=122),LEFT(B57,2),LEFT(B57,1))</f>
        <v>Ba</v>
      </c>
      <c r="K57" s="0" t="n">
        <f aca="false">IF(J57="","",_xlfn.XLOOKUP(TRIM(J57),Metallic_Radius_Table!A:A,Metallic_Radius_Table!B:B))</f>
        <v>2.17</v>
      </c>
      <c r="L57" s="0" t="str">
        <f aca="false">IF(ISNUMBER(SEARCH("La",B57)),"La",
 IF(ISNUMBER(SEARCH("Nd",B57)),"Nd",
 IF(ISNUMBER(SEARCH("Eu",B57)),"Eu",
 IF(ISNUMBER(SEARCH("Gd",B57)),"Gd",""))))</f>
        <v/>
      </c>
      <c r="M57" s="0" t="str">
        <f aca="false">IF(L57="","",_xlfn.XLOOKUP(TRIM(L57),Metallic_Radius_Table!A:A,Metallic_Radius_Table!B:B))</f>
        <v/>
      </c>
      <c r="N57" s="0" t="str">
        <f aca="false">TRIM(LEFT(C57,FIND(",",C57)-1))</f>
        <v>Fe</v>
      </c>
      <c r="O57" s="3" t="n">
        <f aca="false">IF(N57="","",_xlfn.XLOOKUP(TRIM(N57),Metallic_Radius_Table!A:A,Metallic_Radius_Table!B:B))</f>
        <v>1.26</v>
      </c>
      <c r="P57" s="0" t="str">
        <f aca="false">TRIM(MID(C57,FIND(",",C57)+1,5))</f>
        <v>Ta</v>
      </c>
      <c r="Q57" s="0" t="n">
        <f aca="false">IF(P57="","",_xlfn.XLOOKUP(TRIM(P57),Metallic_Radius_Table!A:A,Metallic_Radius_Table!B:B))</f>
        <v>1.46</v>
      </c>
      <c r="R57" s="0" t="str">
        <f aca="false">IF(G57&gt;=1,   "Ferromagnetic / Ferrimagnetic",   IF(G57&gt;=0.05,      "Paramagnetic / Weakly magnetic",      "Antiferromagnetic / Diamagnetic"))</f>
        <v>Ferromagnetic / Ferrimagnetic</v>
      </c>
      <c r="U57" s="0" t="str">
        <f aca="false">IF(G57&gt;=1,
   "FM → PM (Curie-type)",
   IF(G57&lt;0.05,
      "AFM → PM (Néel-type)",
      "No long-range magnetic transition"))</f>
        <v>FM → PM (Curie-type)</v>
      </c>
    </row>
    <row r="58" customFormat="false" ht="13.8" hidden="false" customHeight="false" outlineLevel="0" collapsed="false">
      <c r="A58" s="0" t="s">
        <v>1049</v>
      </c>
      <c r="B58" s="0" t="s">
        <v>1050</v>
      </c>
      <c r="C58" s="0" t="s">
        <v>438</v>
      </c>
      <c r="D58" s="0" t="n">
        <v>-3.32240868185185</v>
      </c>
      <c r="E58" s="0" t="n">
        <v>0.007307892296278</v>
      </c>
      <c r="F58" s="0" t="n">
        <v>0</v>
      </c>
      <c r="G58" s="0" t="n">
        <v>1.99962479999999</v>
      </c>
      <c r="H58" s="0" t="s">
        <v>374</v>
      </c>
      <c r="I58" s="2" t="b">
        <f aca="false">TRUE()</f>
        <v>1</v>
      </c>
      <c r="J58" s="0" t="str">
        <f aca="false">IF(AND(CODE(MID(B58,2,1))&gt;=97,CODE(MID(B58,2,1))&lt;=122),LEFT(B58,2),LEFT(B58,1))</f>
        <v>Ba</v>
      </c>
      <c r="K58" s="0" t="n">
        <f aca="false">IF(J58="","",_xlfn.XLOOKUP(TRIM(J58),Metallic_Radius_Table!A:A,Metallic_Radius_Table!B:B))</f>
        <v>2.17</v>
      </c>
      <c r="L58" s="0" t="str">
        <f aca="false">IF(ISNUMBER(SEARCH("La",B58)),"La",
 IF(ISNUMBER(SEARCH("Nd",B58)),"Nd",
 IF(ISNUMBER(SEARCH("Eu",B58)),"Eu",
 IF(ISNUMBER(SEARCH("Gd",B58)),"Gd",""))))</f>
        <v/>
      </c>
      <c r="M58" s="0" t="str">
        <f aca="false">IF(L58="","",_xlfn.XLOOKUP(TRIM(L58),Metallic_Radius_Table!A:A,Metallic_Radius_Table!B:B))</f>
        <v/>
      </c>
      <c r="N58" s="0" t="str">
        <f aca="false">TRIM(LEFT(C58,FIND(",",C58)-1))</f>
        <v>Ta</v>
      </c>
      <c r="O58" s="3" t="n">
        <f aca="false">IF(N58="","",_xlfn.XLOOKUP(TRIM(N58),Metallic_Radius_Table!A:A,Metallic_Radius_Table!B:B))</f>
        <v>1.46</v>
      </c>
      <c r="P58" s="0" t="str">
        <f aca="false">TRIM(MID(C58,FIND(",",C58)+1,5))</f>
        <v>Ni</v>
      </c>
      <c r="Q58" s="0" t="n">
        <f aca="false">IF(P58="","",_xlfn.XLOOKUP(TRIM(P58),Metallic_Radius_Table!A:A,Metallic_Radius_Table!B:B))</f>
        <v>1.24</v>
      </c>
      <c r="R58" s="0" t="str">
        <f aca="false">IF(G58&gt;=1,   "Ferromagnetic / Ferrimagnetic",   IF(G58&gt;=0.05,      "Paramagnetic / Weakly magnetic",      "Antiferromagnetic / Diamagnetic"))</f>
        <v>Ferromagnetic / Ferrimagnetic</v>
      </c>
      <c r="U58" s="0" t="str">
        <f aca="false">IF(G58&gt;=1,
   "FM → PM (Curie-type)",
   IF(G58&lt;0.05,
      "AFM → PM (Néel-type)",
      "No long-range magnetic transition"))</f>
        <v>FM → PM (Curie-type)</v>
      </c>
    </row>
    <row r="59" customFormat="false" ht="13.8" hidden="false" customHeight="false" outlineLevel="0" collapsed="false">
      <c r="A59" s="0" t="s">
        <v>1051</v>
      </c>
      <c r="B59" s="0" t="s">
        <v>1052</v>
      </c>
      <c r="C59" s="0" t="s">
        <v>82</v>
      </c>
      <c r="D59" s="0" t="n">
        <v>-3.07549636782608</v>
      </c>
      <c r="E59" s="0" t="n">
        <v>0.047693956297884</v>
      </c>
      <c r="F59" s="0" t="n">
        <v>0</v>
      </c>
      <c r="G59" s="0" t="n">
        <v>0.003877</v>
      </c>
      <c r="H59" s="0" t="s">
        <v>199</v>
      </c>
      <c r="I59" s="2" t="b">
        <f aca="false">TRUE()</f>
        <v>1</v>
      </c>
      <c r="J59" s="0" t="str">
        <f aca="false">IF(AND(CODE(MID(B59,2,1))&gt;=97,CODE(MID(B59,2,1))&lt;=122),LEFT(B59,2),LEFT(B59,1))</f>
        <v>Ba</v>
      </c>
      <c r="K59" s="0" t="n">
        <f aca="false">IF(J59="","",_xlfn.XLOOKUP(TRIM(J59),Metallic_Radius_Table!A:A,Metallic_Radius_Table!B:B))</f>
        <v>2.17</v>
      </c>
      <c r="L59" s="0" t="str">
        <f aca="false">IF(ISNUMBER(SEARCH("La",B59)),"La",
 IF(ISNUMBER(SEARCH("Nd",B59)),"Nd",
 IF(ISNUMBER(SEARCH("Eu",B59)),"Eu",
 IF(ISNUMBER(SEARCH("Gd",B59)),"Gd",""))))</f>
        <v/>
      </c>
      <c r="M59" s="0" t="str">
        <f aca="false">IF(L59="","",_xlfn.XLOOKUP(TRIM(L59),Metallic_Radius_Table!A:A,Metallic_Radius_Table!B:B))</f>
        <v/>
      </c>
      <c r="N59" s="0" t="str">
        <f aca="false">TRIM(LEFT(C59,FIND(",",C59)-1))</f>
        <v>Co</v>
      </c>
      <c r="O59" s="3" t="n">
        <f aca="false">IF(N59="","",_xlfn.XLOOKUP(TRIM(N59),Metallic_Radius_Table!A:A,Metallic_Radius_Table!B:B))</f>
        <v>1.25</v>
      </c>
      <c r="P59" s="0" t="str">
        <f aca="false">TRIM(MID(C59,FIND(",",C59)+1,5))</f>
        <v>Nb</v>
      </c>
      <c r="Q59" s="0" t="n">
        <f aca="false">IF(P59="","",_xlfn.XLOOKUP(TRIM(P59),Metallic_Radius_Table!A:A,Metallic_Radius_Table!B:B))</f>
        <v>1.46</v>
      </c>
      <c r="R59" s="0" t="str">
        <f aca="false">IF(G59&gt;=1,   "Ferromagnetic / Ferrimagnetic",   IF(G59&gt;=0.05,      "Paramagnetic / Weakly magnetic",      "Antiferromagnetic / Diamagnetic"))</f>
        <v>Antiferromagnetic / Diamagnetic</v>
      </c>
      <c r="U59" s="0" t="str">
        <f aca="false">IF(G59&gt;=1,
   "FM → PM (Curie-type)",
   IF(G59&lt;0.05,
      "AFM → PM (Néel-type)",
      "No long-range magnetic transition"))</f>
        <v>AFM → PM (Néel-type)</v>
      </c>
    </row>
    <row r="60" customFormat="false" ht="13.8" hidden="false" customHeight="false" outlineLevel="0" collapsed="false">
      <c r="A60" s="0" t="s">
        <v>1053</v>
      </c>
      <c r="B60" s="0" t="s">
        <v>1054</v>
      </c>
      <c r="C60" s="0" t="s">
        <v>185</v>
      </c>
      <c r="D60" s="0" t="n">
        <v>-3.27076266114942</v>
      </c>
      <c r="E60" s="0" t="n">
        <v>0.027278752799997</v>
      </c>
      <c r="F60" s="0" t="n">
        <v>1.11399999999999</v>
      </c>
      <c r="G60" s="0" t="n">
        <v>0.000804999999999</v>
      </c>
      <c r="H60" s="0" t="s">
        <v>968</v>
      </c>
      <c r="I60" s="2" t="b">
        <f aca="false">TRUE()</f>
        <v>1</v>
      </c>
      <c r="J60" s="0" t="str">
        <f aca="false">IF(AND(CODE(MID(B60,2,1))&gt;=97,CODE(MID(B60,2,1))&lt;=122),LEFT(B60,2),LEFT(B60,1))</f>
        <v>Ba</v>
      </c>
      <c r="K60" s="0" t="n">
        <f aca="false">IF(J60="","",_xlfn.XLOOKUP(TRIM(J60),Metallic_Radius_Table!A:A,Metallic_Radius_Table!B:B))</f>
        <v>2.17</v>
      </c>
      <c r="L60" s="0" t="str">
        <f aca="false">IF(ISNUMBER(SEARCH("La",B60)),"La",
 IF(ISNUMBER(SEARCH("Nd",B60)),"Nd",
 IF(ISNUMBER(SEARCH("Eu",B60)),"Eu",
 IF(ISNUMBER(SEARCH("Gd",B60)),"Gd",""))))</f>
        <v/>
      </c>
      <c r="M60" s="0" t="str">
        <f aca="false">IF(L60="","",_xlfn.XLOOKUP(TRIM(L60),Metallic_Radius_Table!A:A,Metallic_Radius_Table!B:B))</f>
        <v/>
      </c>
      <c r="N60" s="0" t="str">
        <f aca="false">TRIM(LEFT(C60,FIND(",",C60)-1))</f>
        <v>Nb</v>
      </c>
      <c r="O60" s="3" t="n">
        <f aca="false">IF(N60="","",_xlfn.XLOOKUP(TRIM(N60),Metallic_Radius_Table!A:A,Metallic_Radius_Table!B:B))</f>
        <v>1.46</v>
      </c>
      <c r="P60" s="0" t="str">
        <f aca="false">TRIM(MID(C60,FIND(",",C60)+1,5))</f>
        <v>Ti</v>
      </c>
      <c r="Q60" s="0" t="n">
        <f aca="false">IF(P60="","",_xlfn.XLOOKUP(TRIM(P60),Metallic_Radius_Table!A:A,Metallic_Radius_Table!B:B))</f>
        <v>1.47</v>
      </c>
      <c r="R60" s="0" t="str">
        <f aca="false">IF(G60&gt;=1,   "Ferromagnetic / Ferrimagnetic",   IF(G60&gt;=0.05,      "Paramagnetic / Weakly magnetic",      "Antiferromagnetic / Diamagnetic"))</f>
        <v>Antiferromagnetic / Diamagnetic</v>
      </c>
      <c r="U60" s="0" t="str">
        <f aca="false">IF(G60&gt;=1,
   "FM → PM (Curie-type)",
   IF(G60&lt;0.05,
      "AFM → PM (Néel-type)",
      "No long-range magnetic transition"))</f>
        <v>AFM → PM (Néel-type)</v>
      </c>
    </row>
    <row r="61" customFormat="false" ht="13.8" hidden="false" customHeight="false" outlineLevel="0" collapsed="false">
      <c r="A61" s="0" t="s">
        <v>1055</v>
      </c>
      <c r="B61" s="0" t="s">
        <v>1056</v>
      </c>
      <c r="C61" s="0" t="s">
        <v>482</v>
      </c>
      <c r="D61" s="0" t="n">
        <v>-2.91033916</v>
      </c>
      <c r="E61" s="0" t="n">
        <v>0</v>
      </c>
      <c r="F61" s="0" t="n">
        <v>0</v>
      </c>
      <c r="G61" s="0" t="n">
        <v>0.3350668</v>
      </c>
      <c r="H61" s="0" t="s">
        <v>1044</v>
      </c>
      <c r="I61" s="2" t="b">
        <f aca="false">TRUE()</f>
        <v>1</v>
      </c>
      <c r="J61" s="0" t="str">
        <f aca="false">IF(AND(CODE(MID(B61,2,1))&gt;=97,CODE(MID(B61,2,1))&lt;=122),LEFT(B61,2),LEFT(B61,1))</f>
        <v>Ba</v>
      </c>
      <c r="K61" s="0" t="n">
        <f aca="false">IF(J61="","",_xlfn.XLOOKUP(TRIM(J61),Metallic_Radius_Table!A:A,Metallic_Radius_Table!B:B))</f>
        <v>2.17</v>
      </c>
      <c r="L61" s="0" t="str">
        <f aca="false">IF(ISNUMBER(SEARCH("La",B61)),"La",
 IF(ISNUMBER(SEARCH("Nd",B61)),"Nd",
 IF(ISNUMBER(SEARCH("Eu",B61)),"Eu",
 IF(ISNUMBER(SEARCH("Gd",B61)),"Gd",""))))</f>
        <v/>
      </c>
      <c r="M61" s="0" t="str">
        <f aca="false">IF(L61="","",_xlfn.XLOOKUP(TRIM(L61),Metallic_Radius_Table!A:A,Metallic_Radius_Table!B:B))</f>
        <v/>
      </c>
      <c r="N61" s="0" t="str">
        <f aca="false">TRIM(LEFT(C61,FIND(",",C61)-1))</f>
        <v>Nb</v>
      </c>
      <c r="O61" s="3" t="n">
        <f aca="false">IF(N61="","",_xlfn.XLOOKUP(TRIM(N61),Metallic_Radius_Table!A:A,Metallic_Radius_Table!B:B))</f>
        <v>1.46</v>
      </c>
      <c r="P61" s="0" t="str">
        <f aca="false">TRIM(MID(C61,FIND(",",C61)+1,5))</f>
        <v>Zr</v>
      </c>
      <c r="Q61" s="0" t="n">
        <f aca="false">IF(P61="","",_xlfn.XLOOKUP(TRIM(P61),Metallic_Radius_Table!A:A,Metallic_Radius_Table!B:B))</f>
        <v>1.6</v>
      </c>
      <c r="R61" s="0" t="str">
        <f aca="false">IF(G61&gt;=1,   "Ferromagnetic / Ferrimagnetic",   IF(G61&gt;=0.05,      "Paramagnetic / Weakly magnetic",      "Antiferromagnetic / Diamagnetic"))</f>
        <v>Paramagnetic / Weakly magnetic</v>
      </c>
      <c r="U61" s="0" t="str">
        <f aca="false">IF(G61&gt;=1,
   "FM → PM (Curie-type)",
   IF(G61&lt;0.05,
      "AFM → PM (Néel-type)",
      "No long-range magnetic transition"))</f>
        <v>No long-range magnetic transition</v>
      </c>
    </row>
    <row r="62" customFormat="false" ht="13.8" hidden="false" customHeight="false" outlineLevel="0" collapsed="false">
      <c r="A62" s="0" t="s">
        <v>1057</v>
      </c>
      <c r="B62" s="0" t="s">
        <v>1058</v>
      </c>
      <c r="C62" s="0" t="s">
        <v>1000</v>
      </c>
      <c r="D62" s="0" t="n">
        <v>-1.91659725192307</v>
      </c>
      <c r="E62" s="0" t="n">
        <v>0.018277336346138</v>
      </c>
      <c r="F62" s="0" t="n">
        <v>3.34769999999999</v>
      </c>
      <c r="G62" s="0" t="n">
        <v>0.0004472</v>
      </c>
      <c r="H62" s="0" t="s">
        <v>1059</v>
      </c>
      <c r="I62" s="2" t="b">
        <f aca="false">TRUE()</f>
        <v>1</v>
      </c>
      <c r="J62" s="0" t="str">
        <f aca="false">IF(AND(CODE(MID(B62,2,1))&gt;=97,CODE(MID(B62,2,1))&lt;=122),LEFT(B62,2),LEFT(B62,1))</f>
        <v>Ba</v>
      </c>
      <c r="K62" s="0" t="n">
        <f aca="false">IF(J62="","",_xlfn.XLOOKUP(TRIM(J62),Metallic_Radius_Table!A:A,Metallic_Radius_Table!B:B))</f>
        <v>2.17</v>
      </c>
      <c r="L62" s="0" t="str">
        <f aca="false">IF(ISNUMBER(SEARCH("La",B62)),"La",
 IF(ISNUMBER(SEARCH("Nd",B62)),"Nd",
 IF(ISNUMBER(SEARCH("Eu",B62)),"Eu",
 IF(ISNUMBER(SEARCH("Gd",B62)),"Gd",""))))</f>
        <v/>
      </c>
      <c r="M62" s="0" t="str">
        <f aca="false">IF(L62="","",_xlfn.XLOOKUP(TRIM(L62),Metallic_Radius_Table!A:A,Metallic_Radius_Table!B:B))</f>
        <v/>
      </c>
      <c r="N62" s="0" t="str">
        <f aca="false">TRIM(LEFT(C62,FIND(",",C62)-1))</f>
        <v>Mo</v>
      </c>
      <c r="O62" s="3" t="n">
        <f aca="false">IF(N62="","",_xlfn.XLOOKUP(TRIM(N62),Metallic_Radius_Table!A:A,Metallic_Radius_Table!B:B))</f>
        <v>1.39</v>
      </c>
      <c r="P62" s="0" t="str">
        <f aca="false">TRIM(MID(C62,FIND(",",C62)+1,5))</f>
        <v>W</v>
      </c>
      <c r="Q62" s="0" t="n">
        <f aca="false">IF(P62="","",_xlfn.XLOOKUP(TRIM(P62),Metallic_Radius_Table!A:A,Metallic_Radius_Table!B:B))</f>
        <v>1.41</v>
      </c>
      <c r="R62" s="0" t="str">
        <f aca="false">IF(G62&gt;=1,   "Ferromagnetic / Ferrimagnetic",   IF(G62&gt;=0.05,      "Paramagnetic / Weakly magnetic",      "Antiferromagnetic / Diamagnetic"))</f>
        <v>Antiferromagnetic / Diamagnetic</v>
      </c>
      <c r="U62" s="0" t="str">
        <f aca="false">IF(G62&gt;=1,
   "FM → PM (Curie-type)",
   IF(G62&lt;0.05,
      "AFM → PM (Néel-type)",
      "No long-range magnetic transition"))</f>
        <v>AFM → PM (Néel-type)</v>
      </c>
    </row>
    <row r="63" customFormat="false" ht="13.8" hidden="false" customHeight="false" outlineLevel="0" collapsed="false">
      <c r="A63" s="0" t="s">
        <v>1060</v>
      </c>
      <c r="B63" s="0" t="s">
        <v>1061</v>
      </c>
      <c r="C63" s="0" t="s">
        <v>1062</v>
      </c>
      <c r="D63" s="0" t="n">
        <v>-1.85215338092105</v>
      </c>
      <c r="E63" s="0" t="n">
        <v>0.037460897631582</v>
      </c>
      <c r="F63" s="0" t="n">
        <v>0</v>
      </c>
      <c r="G63" s="0" t="n">
        <v>24.9017343</v>
      </c>
      <c r="H63" s="0" t="s">
        <v>1063</v>
      </c>
      <c r="I63" s="2" t="b">
        <f aca="false">TRUE()</f>
        <v>1</v>
      </c>
      <c r="J63" s="0" t="str">
        <f aca="false">IF(AND(CODE(MID(B63,2,1))&gt;=97,CODE(MID(B63,2,1))&lt;=122),LEFT(B63,2),LEFT(B63,1))</f>
        <v>Ba</v>
      </c>
      <c r="K63" s="0" t="n">
        <f aca="false">IF(J63="","",_xlfn.XLOOKUP(TRIM(J63),Metallic_Radius_Table!A:A,Metallic_Radius_Table!B:B))</f>
        <v>2.17</v>
      </c>
      <c r="L63" s="0" t="str">
        <f aca="false">IF(ISNUMBER(SEARCH("La",B63)),"La",
 IF(ISNUMBER(SEARCH("Nd",B63)),"Nd",
 IF(ISNUMBER(SEARCH("Eu",B63)),"Eu",
 IF(ISNUMBER(SEARCH("Gd",B63)),"Gd",""))))</f>
        <v/>
      </c>
      <c r="M63" s="0" t="str">
        <f aca="false">IF(L63="","",_xlfn.XLOOKUP(TRIM(L63),Metallic_Radius_Table!A:A,Metallic_Radius_Table!B:B))</f>
        <v/>
      </c>
      <c r="N63" s="0" t="str">
        <f aca="false">TRIM(LEFT(C63,FIND(",",C63)-1))</f>
        <v>Cr</v>
      </c>
      <c r="O63" s="3" t="n">
        <f aca="false">IF(N63="","",_xlfn.XLOOKUP(TRIM(N63),Metallic_Radius_Table!A:A,Metallic_Radius_Table!B:B))</f>
        <v>1.28</v>
      </c>
      <c r="P63" s="0" t="str">
        <f aca="false">TRIM(MID(C63,FIND(",",C63)+1,5))</f>
        <v>Ru</v>
      </c>
      <c r="Q63" s="0" t="n">
        <f aca="false">IF(P63="","",_xlfn.XLOOKUP(TRIM(P63),Metallic_Radius_Table!A:A,Metallic_Radius_Table!B:B))</f>
        <v>1.34</v>
      </c>
      <c r="R63" s="0" t="str">
        <f aca="false">IF(G63&gt;=1,   "Ferromagnetic / Ferrimagnetic",   IF(G63&gt;=0.05,      "Paramagnetic / Weakly magnetic",      "Antiferromagnetic / Diamagnetic"))</f>
        <v>Ferromagnetic / Ferrimagnetic</v>
      </c>
      <c r="U63" s="0" t="str">
        <f aca="false">IF(G63&gt;=1,
   "FM → PM (Curie-type)",
   IF(G63&lt;0.05,
      "AFM → PM (Néel-type)",
      "No long-range magnetic transition"))</f>
        <v>FM → PM (Curie-type)</v>
      </c>
    </row>
    <row r="64" customFormat="false" ht="13.8" hidden="false" customHeight="false" outlineLevel="0" collapsed="false">
      <c r="A64" s="0" t="s">
        <v>1064</v>
      </c>
      <c r="B64" s="0" t="s">
        <v>1065</v>
      </c>
      <c r="C64" s="0" t="s">
        <v>89</v>
      </c>
      <c r="D64" s="0" t="n">
        <v>-2.31353938578947</v>
      </c>
      <c r="E64" s="0" t="n">
        <v>0.108345046578946</v>
      </c>
      <c r="F64" s="0" t="n">
        <v>1.7345</v>
      </c>
      <c r="G64" s="0" t="n">
        <v>39.9995356</v>
      </c>
      <c r="H64" s="0" t="s">
        <v>459</v>
      </c>
      <c r="I64" s="2" t="b">
        <f aca="false">TRUE()</f>
        <v>1</v>
      </c>
      <c r="J64" s="0" t="str">
        <f aca="false">IF(AND(CODE(MID(B64,2,1))&gt;=97,CODE(MID(B64,2,1))&lt;=122),LEFT(B64,2),LEFT(B64,1))</f>
        <v>Ba</v>
      </c>
      <c r="K64" s="0" t="n">
        <f aca="false">IF(J64="","",_xlfn.XLOOKUP(TRIM(J64),Metallic_Radius_Table!A:A,Metallic_Radius_Table!B:B))</f>
        <v>2.17</v>
      </c>
      <c r="L64" s="0" t="str">
        <f aca="false">IF(ISNUMBER(SEARCH("La",B64)),"La",
 IF(ISNUMBER(SEARCH("Nd",B64)),"Nd",
 IF(ISNUMBER(SEARCH("Eu",B64)),"Eu",
 IF(ISNUMBER(SEARCH("Gd",B64)),"Gd",""))))</f>
        <v/>
      </c>
      <c r="M64" s="0" t="str">
        <f aca="false">IF(L64="","",_xlfn.XLOOKUP(TRIM(L64),Metallic_Radius_Table!A:A,Metallic_Radius_Table!B:B))</f>
        <v/>
      </c>
      <c r="N64" s="0" t="str">
        <f aca="false">TRIM(LEFT(C64,FIND(",",C64)-1))</f>
        <v>Fe</v>
      </c>
      <c r="O64" s="3" t="n">
        <f aca="false">IF(N64="","",_xlfn.XLOOKUP(TRIM(N64),Metallic_Radius_Table!A:A,Metallic_Radius_Table!B:B))</f>
        <v>1.26</v>
      </c>
      <c r="P64" s="0" t="str">
        <f aca="false">TRIM(MID(C64,FIND(",",C64)+1,5))</f>
        <v>Nb</v>
      </c>
      <c r="Q64" s="0" t="n">
        <f aca="false">IF(P64="","",_xlfn.XLOOKUP(TRIM(P64),Metallic_Radius_Table!A:A,Metallic_Radius_Table!B:B))</f>
        <v>1.46</v>
      </c>
      <c r="R64" s="0" t="str">
        <f aca="false">IF(G64&gt;=1,   "Ferromagnetic / Ferrimagnetic",   IF(G64&gt;=0.05,      "Paramagnetic / Weakly magnetic",      "Antiferromagnetic / Diamagnetic"))</f>
        <v>Ferromagnetic / Ferrimagnetic</v>
      </c>
      <c r="U64" s="0" t="str">
        <f aca="false">IF(G64&gt;=1,
   "FM → PM (Curie-type)",
   IF(G64&lt;0.05,
      "AFM → PM (Néel-type)",
      "No long-range magnetic transition"))</f>
        <v>FM → PM (Curie-type)</v>
      </c>
    </row>
    <row r="65" customFormat="false" ht="13.8" hidden="false" customHeight="false" outlineLevel="0" collapsed="false">
      <c r="A65" s="0" t="s">
        <v>1066</v>
      </c>
      <c r="B65" s="0" t="s">
        <v>1067</v>
      </c>
      <c r="C65" s="0" t="s">
        <v>202</v>
      </c>
      <c r="D65" s="0" t="n">
        <v>-3.33265417939655</v>
      </c>
      <c r="E65" s="0" t="n">
        <v>0.016004711475233</v>
      </c>
      <c r="F65" s="0" t="n">
        <v>0</v>
      </c>
      <c r="G65" s="0" t="n">
        <v>19.0005494</v>
      </c>
      <c r="H65" s="0" t="s">
        <v>689</v>
      </c>
      <c r="I65" s="2" t="b">
        <f aca="false">TRUE()</f>
        <v>1</v>
      </c>
      <c r="J65" s="0" t="str">
        <f aca="false">IF(AND(CODE(MID(B65,2,1))&gt;=97,CODE(MID(B65,2,1))&lt;=122),LEFT(B65,2),LEFT(B65,1))</f>
        <v>Ba</v>
      </c>
      <c r="K65" s="0" t="n">
        <f aca="false">IF(J65="","",_xlfn.XLOOKUP(TRIM(J65),Metallic_Radius_Table!A:A,Metallic_Radius_Table!B:B))</f>
        <v>2.17</v>
      </c>
      <c r="L65" s="0" t="str">
        <f aca="false">IF(ISNUMBER(SEARCH("La",B65)),"La",
 IF(ISNUMBER(SEARCH("Nd",B65)),"Nd",
 IF(ISNUMBER(SEARCH("Eu",B65)),"Eu",
 IF(ISNUMBER(SEARCH("Gd",B65)),"Gd",""))))</f>
        <v/>
      </c>
      <c r="M65" s="0" t="str">
        <f aca="false">IF(L65="","",_xlfn.XLOOKUP(TRIM(L65),Metallic_Radius_Table!A:A,Metallic_Radius_Table!B:B))</f>
        <v/>
      </c>
      <c r="N65" s="0" t="str">
        <f aca="false">TRIM(LEFT(C65,FIND(",",C65)-1))</f>
        <v>Mn</v>
      </c>
      <c r="O65" s="3" t="n">
        <f aca="false">IF(N65="","",_xlfn.XLOOKUP(TRIM(N65),Metallic_Radius_Table!A:A,Metallic_Radius_Table!B:B))</f>
        <v>1.27</v>
      </c>
      <c r="P65" s="0" t="str">
        <f aca="false">TRIM(MID(C65,FIND(",",C65)+1,5))</f>
        <v>Ti</v>
      </c>
      <c r="Q65" s="0" t="n">
        <f aca="false">IF(P65="","",_xlfn.XLOOKUP(TRIM(P65),Metallic_Radius_Table!A:A,Metallic_Radius_Table!B:B))</f>
        <v>1.47</v>
      </c>
      <c r="R65" s="0" t="str">
        <f aca="false">IF(G65&gt;=1,   "Ferromagnetic / Ferrimagnetic",   IF(G65&gt;=0.05,      "Paramagnetic / Weakly magnetic",      "Antiferromagnetic / Diamagnetic"))</f>
        <v>Ferromagnetic / Ferrimagnetic</v>
      </c>
      <c r="U65" s="0" t="str">
        <f aca="false">IF(G65&gt;=1,
   "FM → PM (Curie-type)",
   IF(G65&lt;0.05,
      "AFM → PM (Néel-type)",
      "No long-range magnetic transition"))</f>
        <v>FM → PM (Curie-type)</v>
      </c>
    </row>
    <row r="66" customFormat="false" ht="13.8" hidden="false" customHeight="false" outlineLevel="0" collapsed="false">
      <c r="A66" s="0" t="s">
        <v>1068</v>
      </c>
      <c r="B66" s="0" t="s">
        <v>1069</v>
      </c>
      <c r="C66" s="0" t="s">
        <v>996</v>
      </c>
      <c r="D66" s="0" t="n">
        <v>-2.18064296961538</v>
      </c>
      <c r="E66" s="0" t="n">
        <v>0.156130570336539</v>
      </c>
      <c r="F66" s="0" t="n">
        <v>0</v>
      </c>
      <c r="G66" s="0" t="n">
        <v>5.5599872</v>
      </c>
      <c r="H66" s="0" t="s">
        <v>1070</v>
      </c>
      <c r="I66" s="2" t="b">
        <f aca="false">TRUE()</f>
        <v>1</v>
      </c>
      <c r="J66" s="0" t="str">
        <f aca="false">IF(AND(CODE(MID(B66,2,1))&gt;=97,CODE(MID(B66,2,1))&lt;=122),LEFT(B66,2),LEFT(B66,1))</f>
        <v>Ba</v>
      </c>
      <c r="K66" s="0" t="n">
        <f aca="false">IF(J66="","",_xlfn.XLOOKUP(TRIM(J66),Metallic_Radius_Table!A:A,Metallic_Radius_Table!B:B))</f>
        <v>2.17</v>
      </c>
      <c r="L66" s="0" t="str">
        <f aca="false">IF(ISNUMBER(SEARCH("La",B66)),"La",
 IF(ISNUMBER(SEARCH("Nd",B66)),"Nd",
 IF(ISNUMBER(SEARCH("Eu",B66)),"Eu",
 IF(ISNUMBER(SEARCH("Gd",B66)),"Gd",""))))</f>
        <v/>
      </c>
      <c r="M66" s="0" t="str">
        <f aca="false">IF(L66="","",_xlfn.XLOOKUP(TRIM(L66),Metallic_Radius_Table!A:A,Metallic_Radius_Table!B:B))</f>
        <v/>
      </c>
      <c r="N66" s="0" t="str">
        <f aca="false">TRIM(LEFT(C66,FIND(",",C66)-1))</f>
        <v>Co</v>
      </c>
      <c r="O66" s="3" t="n">
        <f aca="false">IF(N66="","",_xlfn.XLOOKUP(TRIM(N66),Metallic_Radius_Table!A:A,Metallic_Radius_Table!B:B))</f>
        <v>1.25</v>
      </c>
      <c r="P66" s="0" t="str">
        <f aca="false">TRIM(MID(C66,FIND(",",C66)+1,5))</f>
        <v>Y</v>
      </c>
      <c r="Q66" s="0" t="n">
        <f aca="false">IF(P66="","",_xlfn.XLOOKUP(TRIM(P66),Metallic_Radius_Table!A:A,Metallic_Radius_Table!B:B))</f>
        <v>1.8</v>
      </c>
      <c r="R66" s="0" t="str">
        <f aca="false">IF(G66&gt;=1,   "Ferromagnetic / Ferrimagnetic",   IF(G66&gt;=0.05,      "Paramagnetic / Weakly magnetic",      "Antiferromagnetic / Diamagnetic"))</f>
        <v>Ferromagnetic / Ferrimagnetic</v>
      </c>
      <c r="U66" s="0" t="str">
        <f aca="false">IF(G66&gt;=1,
   "FM → PM (Curie-type)",
   IF(G66&lt;0.05,
      "AFM → PM (Néel-type)",
      "No long-range magnetic transition"))</f>
        <v>FM → PM (Curie-type)</v>
      </c>
    </row>
    <row r="67" customFormat="false" ht="13.8" hidden="false" customHeight="false" outlineLevel="0" collapsed="false">
      <c r="A67" s="0" t="s">
        <v>1071</v>
      </c>
      <c r="B67" s="0" t="s">
        <v>1072</v>
      </c>
      <c r="C67" s="0" t="s">
        <v>996</v>
      </c>
      <c r="D67" s="0" t="n">
        <v>-2.230528755</v>
      </c>
      <c r="E67" s="0" t="n">
        <v>0.063583836975445</v>
      </c>
      <c r="F67" s="0" t="n">
        <v>0</v>
      </c>
      <c r="G67" s="0" t="n">
        <v>9.9664689</v>
      </c>
      <c r="H67" s="0" t="s">
        <v>1044</v>
      </c>
      <c r="I67" s="2" t="b">
        <f aca="false">TRUE()</f>
        <v>1</v>
      </c>
      <c r="J67" s="0" t="str">
        <f aca="false">IF(AND(CODE(MID(B67,2,1))&gt;=97,CODE(MID(B67,2,1))&lt;=122),LEFT(B67,2),LEFT(B67,1))</f>
        <v>Ba</v>
      </c>
      <c r="K67" s="0" t="n">
        <f aca="false">IF(J67="","",_xlfn.XLOOKUP(TRIM(J67),Metallic_Radius_Table!A:A,Metallic_Radius_Table!B:B))</f>
        <v>2.17</v>
      </c>
      <c r="L67" s="0" t="str">
        <f aca="false">IF(ISNUMBER(SEARCH("La",B67)),"La",
 IF(ISNUMBER(SEARCH("Nd",B67)),"Nd",
 IF(ISNUMBER(SEARCH("Eu",B67)),"Eu",
 IF(ISNUMBER(SEARCH("Gd",B67)),"Gd",""))))</f>
        <v/>
      </c>
      <c r="M67" s="0" t="str">
        <f aca="false">IF(L67="","",_xlfn.XLOOKUP(TRIM(L67),Metallic_Radius_Table!A:A,Metallic_Radius_Table!B:B))</f>
        <v/>
      </c>
      <c r="N67" s="0" t="str">
        <f aca="false">TRIM(LEFT(C67,FIND(",",C67)-1))</f>
        <v>Co</v>
      </c>
      <c r="O67" s="3" t="n">
        <f aca="false">IF(N67="","",_xlfn.XLOOKUP(TRIM(N67),Metallic_Radius_Table!A:A,Metallic_Radius_Table!B:B))</f>
        <v>1.25</v>
      </c>
      <c r="P67" s="0" t="str">
        <f aca="false">TRIM(MID(C67,FIND(",",C67)+1,5))</f>
        <v>Y</v>
      </c>
      <c r="Q67" s="0" t="n">
        <f aca="false">IF(P67="","",_xlfn.XLOOKUP(TRIM(P67),Metallic_Radius_Table!A:A,Metallic_Radius_Table!B:B))</f>
        <v>1.8</v>
      </c>
      <c r="R67" s="0" t="str">
        <f aca="false">IF(G67&gt;=1,   "Ferromagnetic / Ferrimagnetic",   IF(G67&gt;=0.05,      "Paramagnetic / Weakly magnetic",      "Antiferromagnetic / Diamagnetic"))</f>
        <v>Ferromagnetic / Ferrimagnetic</v>
      </c>
      <c r="U67" s="0" t="str">
        <f aca="false">IF(G67&gt;=1,
   "FM → PM (Curie-type)",
   IF(G67&lt;0.05,
      "AFM → PM (Néel-type)",
      "No long-range magnetic transition"))</f>
        <v>FM → PM (Curie-type)</v>
      </c>
    </row>
    <row r="68" customFormat="false" ht="13.8" hidden="false" customHeight="false" outlineLevel="0" collapsed="false">
      <c r="A68" s="0" t="s">
        <v>1073</v>
      </c>
      <c r="B68" s="0" t="s">
        <v>1074</v>
      </c>
      <c r="C68" s="0" t="s">
        <v>996</v>
      </c>
      <c r="D68" s="0" t="n">
        <v>-2.25071173299999</v>
      </c>
      <c r="E68" s="0" t="n">
        <v>0.179599890958335</v>
      </c>
      <c r="F68" s="0" t="n">
        <v>0</v>
      </c>
      <c r="G68" s="0" t="n">
        <v>9.6341917</v>
      </c>
      <c r="H68" s="0" t="s">
        <v>377</v>
      </c>
      <c r="I68" s="2" t="b">
        <f aca="false">TRUE()</f>
        <v>1</v>
      </c>
      <c r="J68" s="0" t="str">
        <f aca="false">IF(AND(CODE(MID(B68,2,1))&gt;=97,CODE(MID(B68,2,1))&lt;=122),LEFT(B68,2),LEFT(B68,1))</f>
        <v>Ba</v>
      </c>
      <c r="K68" s="0" t="n">
        <f aca="false">IF(J68="","",_xlfn.XLOOKUP(TRIM(J68),Metallic_Radius_Table!A:A,Metallic_Radius_Table!B:B))</f>
        <v>2.17</v>
      </c>
      <c r="L68" s="0" t="str">
        <f aca="false">IF(ISNUMBER(SEARCH("La",B68)),"La",
 IF(ISNUMBER(SEARCH("Nd",B68)),"Nd",
 IF(ISNUMBER(SEARCH("Eu",B68)),"Eu",
 IF(ISNUMBER(SEARCH("Gd",B68)),"Gd",""))))</f>
        <v/>
      </c>
      <c r="M68" s="0" t="str">
        <f aca="false">IF(L68="","",_xlfn.XLOOKUP(TRIM(L68),Metallic_Radius_Table!A:A,Metallic_Radius_Table!B:B))</f>
        <v/>
      </c>
      <c r="N68" s="0" t="str">
        <f aca="false">TRIM(LEFT(C68,FIND(",",C68)-1))</f>
        <v>Co</v>
      </c>
      <c r="O68" s="3" t="n">
        <f aca="false">IF(N68="","",_xlfn.XLOOKUP(TRIM(N68),Metallic_Radius_Table!A:A,Metallic_Radius_Table!B:B))</f>
        <v>1.25</v>
      </c>
      <c r="P68" s="0" t="str">
        <f aca="false">TRIM(MID(C68,FIND(",",C68)+1,5))</f>
        <v>Y</v>
      </c>
      <c r="Q68" s="0" t="n">
        <f aca="false">IF(P68="","",_xlfn.XLOOKUP(TRIM(P68),Metallic_Radius_Table!A:A,Metallic_Radius_Table!B:B))</f>
        <v>1.8</v>
      </c>
      <c r="R68" s="0" t="str">
        <f aca="false">IF(G68&gt;=1,   "Ferromagnetic / Ferrimagnetic",   IF(G68&gt;=0.05,      "Paramagnetic / Weakly magnetic",      "Antiferromagnetic / Diamagnetic"))</f>
        <v>Ferromagnetic / Ferrimagnetic</v>
      </c>
      <c r="U68" s="0" t="str">
        <f aca="false">IF(G68&gt;=1,
   "FM → PM (Curie-type)",
   IF(G68&lt;0.05,
      "AFM → PM (Néel-type)",
      "No long-range magnetic transition"))</f>
        <v>FM → PM (Curie-type)</v>
      </c>
    </row>
    <row r="69" customFormat="false" ht="13.8" hidden="false" customHeight="false" outlineLevel="0" collapsed="false">
      <c r="A69" s="0" t="s">
        <v>1075</v>
      </c>
      <c r="B69" s="0" t="s">
        <v>1076</v>
      </c>
      <c r="C69" s="0" t="s">
        <v>198</v>
      </c>
      <c r="D69" s="0" t="n">
        <v>-2.41142772865862</v>
      </c>
      <c r="E69" s="0" t="n">
        <v>0.147741539599992</v>
      </c>
      <c r="F69" s="0" t="n">
        <v>0</v>
      </c>
      <c r="G69" s="0" t="n">
        <v>29.3148391</v>
      </c>
      <c r="H69" s="0" t="s">
        <v>1077</v>
      </c>
      <c r="I69" s="2" t="b">
        <f aca="false">TRUE()</f>
        <v>1</v>
      </c>
      <c r="J69" s="0" t="str">
        <f aca="false">IF(AND(CODE(MID(B69,2,1))&gt;=97,CODE(MID(B69,2,1))&lt;=122),LEFT(B69,2),LEFT(B69,1))</f>
        <v>Ba</v>
      </c>
      <c r="K69" s="0" t="n">
        <f aca="false">IF(J69="","",_xlfn.XLOOKUP(TRIM(J69),Metallic_Radius_Table!A:A,Metallic_Radius_Table!B:B))</f>
        <v>2.17</v>
      </c>
      <c r="L69" s="0" t="str">
        <f aca="false">IF(ISNUMBER(SEARCH("La",B69)),"La",
 IF(ISNUMBER(SEARCH("Nd",B69)),"Nd",
 IF(ISNUMBER(SEARCH("Eu",B69)),"Eu",
 IF(ISNUMBER(SEARCH("Gd",B69)),"Gd",""))))</f>
        <v>La</v>
      </c>
      <c r="M69" s="0" t="n">
        <f aca="false">IF(L69="","",_xlfn.XLOOKUP(TRIM(L69),Metallic_Radius_Table!A:A,Metallic_Radius_Table!B:B))</f>
        <v>1.87</v>
      </c>
      <c r="N69" s="0" t="str">
        <f aca="false">TRIM(LEFT(C69,FIND(",",C69)-1))</f>
        <v>Mn</v>
      </c>
      <c r="O69" s="3" t="n">
        <f aca="false">IF(N69="","",_xlfn.XLOOKUP(TRIM(N69),Metallic_Radius_Table!A:A,Metallic_Radius_Table!B:B))</f>
        <v>1.27</v>
      </c>
      <c r="P69" s="0" t="str">
        <f aca="false">TRIM(MID(C69,FIND(",",C69)+1,5))</f>
        <v>Co</v>
      </c>
      <c r="Q69" s="0" t="n">
        <f aca="false">IF(P69="","",_xlfn.XLOOKUP(TRIM(P69),Metallic_Radius_Table!A:A,Metallic_Radius_Table!B:B))</f>
        <v>1.25</v>
      </c>
      <c r="R69" s="0" t="str">
        <f aca="false">IF(G69&gt;=1,   "Ferromagnetic / Ferrimagnetic",   IF(G69&gt;=0.05,      "Paramagnetic / Weakly magnetic",      "Antiferromagnetic / Diamagnetic"))</f>
        <v>Ferromagnetic / Ferrimagnetic</v>
      </c>
      <c r="U69" s="0" t="str">
        <f aca="false">IF(G69&gt;=1,
   "FM → PM (Curie-type)",
   IF(G69&lt;0.05,
      "AFM → PM (Néel-type)",
      "No long-range magnetic transition"))</f>
        <v>FM → PM (Curie-type)</v>
      </c>
    </row>
    <row r="70" customFormat="false" ht="13.8" hidden="false" customHeight="false" outlineLevel="0" collapsed="false">
      <c r="A70" s="0" t="s">
        <v>1078</v>
      </c>
      <c r="B70" s="0" t="s">
        <v>1079</v>
      </c>
      <c r="C70" s="0" t="s">
        <v>175</v>
      </c>
      <c r="D70" s="0" t="n">
        <v>-3.25580506489999</v>
      </c>
      <c r="E70" s="0" t="n">
        <v>0.029514669550007</v>
      </c>
      <c r="F70" s="0" t="n">
        <v>1.85409999999999</v>
      </c>
      <c r="G70" s="0" t="n">
        <v>21.0008975</v>
      </c>
      <c r="H70" s="0" t="s">
        <v>58</v>
      </c>
      <c r="I70" s="2" t="b">
        <f aca="false">TRUE()</f>
        <v>1</v>
      </c>
      <c r="J70" s="0" t="str">
        <f aca="false">IF(AND(CODE(MID(B70,2,1))&gt;=97,CODE(MID(B70,2,1))&lt;=122),LEFT(B70,2),LEFT(B70,1))</f>
        <v>Ba</v>
      </c>
      <c r="K70" s="0" t="n">
        <f aca="false">IF(J70="","",_xlfn.XLOOKUP(TRIM(J70),Metallic_Radius_Table!A:A,Metallic_Radius_Table!B:B))</f>
        <v>2.17</v>
      </c>
      <c r="L70" s="0" t="str">
        <f aca="false">IF(ISNUMBER(SEARCH("La",B70)),"La",
 IF(ISNUMBER(SEARCH("Nd",B70)),"Nd",
 IF(ISNUMBER(SEARCH("Eu",B70)),"Eu",
 IF(ISNUMBER(SEARCH("Gd",B70)),"Gd",""))))</f>
        <v>La</v>
      </c>
      <c r="M70" s="0" t="n">
        <f aca="false">IF(L70="","",_xlfn.XLOOKUP(TRIM(L70),Metallic_Radius_Table!A:A,Metallic_Radius_Table!B:B))</f>
        <v>1.87</v>
      </c>
      <c r="N70" s="0" t="str">
        <f aca="false">TRIM(LEFT(C70,FIND(",",C70)-1))</f>
        <v>Cr</v>
      </c>
      <c r="O70" s="3" t="n">
        <f aca="false">IF(N70="","",_xlfn.XLOOKUP(TRIM(N70),Metallic_Radius_Table!A:A,Metallic_Radius_Table!B:B))</f>
        <v>1.28</v>
      </c>
      <c r="P70" s="0" t="str">
        <f aca="false">TRIM(MID(C70,FIND(",",C70)+1,5))</f>
        <v>Ti</v>
      </c>
      <c r="Q70" s="0" t="n">
        <f aca="false">IF(P70="","",_xlfn.XLOOKUP(TRIM(P70),Metallic_Radius_Table!A:A,Metallic_Radius_Table!B:B))</f>
        <v>1.47</v>
      </c>
      <c r="R70" s="0" t="str">
        <f aca="false">IF(G70&gt;=1,   "Ferromagnetic / Ferrimagnetic",   IF(G70&gt;=0.05,      "Paramagnetic / Weakly magnetic",      "Antiferromagnetic / Diamagnetic"))</f>
        <v>Ferromagnetic / Ferrimagnetic</v>
      </c>
      <c r="U70" s="0" t="str">
        <f aca="false">IF(G70&gt;=1,
   "FM → PM (Curie-type)",
   IF(G70&lt;0.05,
      "AFM → PM (Néel-type)",
      "No long-range magnetic transition"))</f>
        <v>FM → PM (Curie-type)</v>
      </c>
    </row>
    <row r="71" customFormat="false" ht="13.8" hidden="false" customHeight="false" outlineLevel="0" collapsed="false">
      <c r="A71" s="0" t="s">
        <v>1080</v>
      </c>
      <c r="B71" s="0" t="s">
        <v>1081</v>
      </c>
      <c r="C71" s="0" t="s">
        <v>185</v>
      </c>
      <c r="D71" s="0" t="n">
        <v>-2.9994930459931</v>
      </c>
      <c r="E71" s="0" t="n">
        <v>0.03956628299999</v>
      </c>
      <c r="F71" s="0" t="n">
        <v>1.1087</v>
      </c>
      <c r="G71" s="0" t="n">
        <v>0.0002499</v>
      </c>
      <c r="H71" s="0" t="s">
        <v>968</v>
      </c>
      <c r="I71" s="2" t="b">
        <f aca="false">TRUE()</f>
        <v>1</v>
      </c>
      <c r="J71" s="0" t="str">
        <f aca="false">IF(AND(CODE(MID(B71,2,1))&gt;=97,CODE(MID(B71,2,1))&lt;=122),LEFT(B71,2),LEFT(B71,1))</f>
        <v>Ba</v>
      </c>
      <c r="K71" s="0" t="n">
        <f aca="false">IF(J71="","",_xlfn.XLOOKUP(TRIM(J71),Metallic_Radius_Table!A:A,Metallic_Radius_Table!B:B))</f>
        <v>2.17</v>
      </c>
      <c r="L71" s="0" t="str">
        <f aca="false">IF(ISNUMBER(SEARCH("La",B71)),"La",
 IF(ISNUMBER(SEARCH("Nd",B71)),"Nd",
 IF(ISNUMBER(SEARCH("Eu",B71)),"Eu",
 IF(ISNUMBER(SEARCH("Gd",B71)),"Gd",""))))</f>
        <v/>
      </c>
      <c r="M71" s="0" t="str">
        <f aca="false">IF(L71="","",_xlfn.XLOOKUP(TRIM(L71),Metallic_Radius_Table!A:A,Metallic_Radius_Table!B:B))</f>
        <v/>
      </c>
      <c r="N71" s="0" t="str">
        <f aca="false">TRIM(LEFT(C71,FIND(",",C71)-1))</f>
        <v>Nb</v>
      </c>
      <c r="O71" s="3" t="n">
        <f aca="false">IF(N71="","",_xlfn.XLOOKUP(TRIM(N71),Metallic_Radius_Table!A:A,Metallic_Radius_Table!B:B))</f>
        <v>1.46</v>
      </c>
      <c r="P71" s="0" t="str">
        <f aca="false">TRIM(MID(C71,FIND(",",C71)+1,5))</f>
        <v>Ti</v>
      </c>
      <c r="Q71" s="0" t="n">
        <f aca="false">IF(P71="","",_xlfn.XLOOKUP(TRIM(P71),Metallic_Radius_Table!A:A,Metallic_Radius_Table!B:B))</f>
        <v>1.47</v>
      </c>
      <c r="R71" s="0" t="str">
        <f aca="false">IF(G71&gt;=1,   "Ferromagnetic / Ferrimagnetic",   IF(G71&gt;=0.05,      "Paramagnetic / Weakly magnetic",      "Antiferromagnetic / Diamagnetic"))</f>
        <v>Antiferromagnetic / Diamagnetic</v>
      </c>
      <c r="U71" s="0" t="str">
        <f aca="false">IF(G71&gt;=1,
   "FM → PM (Curie-type)",
   IF(G71&lt;0.05,
      "AFM → PM (Néel-type)",
      "No long-range magnetic transition"))</f>
        <v>AFM → PM (Néel-type)</v>
      </c>
    </row>
    <row r="72" customFormat="false" ht="13.8" hidden="false" customHeight="false" outlineLevel="0" collapsed="false">
      <c r="A72" s="0" t="s">
        <v>1082</v>
      </c>
      <c r="B72" s="0" t="s">
        <v>1083</v>
      </c>
      <c r="C72" s="0" t="s">
        <v>175</v>
      </c>
      <c r="D72" s="0" t="n">
        <v>-3.39850287343333</v>
      </c>
      <c r="E72" s="0" t="n">
        <v>0.064166133883352</v>
      </c>
      <c r="F72" s="0" t="n">
        <v>0</v>
      </c>
      <c r="G72" s="0" t="n">
        <v>19.0006098</v>
      </c>
      <c r="H72" s="0" t="s">
        <v>58</v>
      </c>
      <c r="I72" s="2" t="b">
        <f aca="false">TRUE()</f>
        <v>1</v>
      </c>
      <c r="J72" s="0" t="str">
        <f aca="false">IF(AND(CODE(MID(B72,2,1))&gt;=97,CODE(MID(B72,2,1))&lt;=122),LEFT(B72,2),LEFT(B72,1))</f>
        <v>Ca</v>
      </c>
      <c r="K72" s="0" t="n">
        <f aca="false">IF(J72="","",_xlfn.XLOOKUP(TRIM(J72),Metallic_Radius_Table!A:A,Metallic_Radius_Table!B:B))</f>
        <v>1.97</v>
      </c>
      <c r="L72" s="0" t="str">
        <f aca="false">IF(ISNUMBER(SEARCH("La",B72)),"La",
 IF(ISNUMBER(SEARCH("Nd",B72)),"Nd",
 IF(ISNUMBER(SEARCH("Eu",B72)),"Eu",
 IF(ISNUMBER(SEARCH("Gd",B72)),"Gd",""))))</f>
        <v>La</v>
      </c>
      <c r="M72" s="0" t="n">
        <f aca="false">IF(L72="","",_xlfn.XLOOKUP(TRIM(L72),Metallic_Radius_Table!A:A,Metallic_Radius_Table!B:B))</f>
        <v>1.87</v>
      </c>
      <c r="N72" s="0" t="str">
        <f aca="false">TRIM(LEFT(C72,FIND(",",C72)-1))</f>
        <v>Cr</v>
      </c>
      <c r="O72" s="3" t="n">
        <f aca="false">IF(N72="","",_xlfn.XLOOKUP(TRIM(N72),Metallic_Radius_Table!A:A,Metallic_Radius_Table!B:B))</f>
        <v>1.28</v>
      </c>
      <c r="P72" s="0" t="str">
        <f aca="false">TRIM(MID(C72,FIND(",",C72)+1,5))</f>
        <v>Ti</v>
      </c>
      <c r="Q72" s="0" t="n">
        <f aca="false">IF(P72="","",_xlfn.XLOOKUP(TRIM(P72),Metallic_Radius_Table!A:A,Metallic_Radius_Table!B:B))</f>
        <v>1.47</v>
      </c>
      <c r="R72" s="0" t="str">
        <f aca="false">IF(G72&gt;=1,   "Ferromagnetic / Ferrimagnetic",   IF(G72&gt;=0.05,      "Paramagnetic / Weakly magnetic",      "Antiferromagnetic / Diamagnetic"))</f>
        <v>Ferromagnetic / Ferrimagnetic</v>
      </c>
      <c r="U72" s="0" t="str">
        <f aca="false">IF(G72&gt;=1,
   "FM → PM (Curie-type)",
   IF(G72&lt;0.05,
      "AFM → PM (Néel-type)",
      "No long-range magnetic transition"))</f>
        <v>FM → PM (Curie-type)</v>
      </c>
    </row>
    <row r="73" customFormat="false" ht="13.8" hidden="false" customHeight="false" outlineLevel="0" collapsed="false">
      <c r="A73" s="0" t="s">
        <v>1084</v>
      </c>
      <c r="B73" s="0" t="s">
        <v>1085</v>
      </c>
      <c r="C73" s="0" t="s">
        <v>1086</v>
      </c>
      <c r="D73" s="0" t="n">
        <v>-3.42919917343333</v>
      </c>
      <c r="E73" s="0" t="n">
        <v>0.004009650700011</v>
      </c>
      <c r="F73" s="0" t="n">
        <v>1.9961</v>
      </c>
      <c r="G73" s="0" t="n">
        <v>10.0002414</v>
      </c>
      <c r="H73" s="0" t="s">
        <v>54</v>
      </c>
      <c r="I73" s="2" t="b">
        <f aca="false">TRUE()</f>
        <v>1</v>
      </c>
      <c r="J73" s="0" t="str">
        <f aca="false">IF(AND(CODE(MID(B73,2,1))&gt;=97,CODE(MID(B73,2,1))&lt;=122),LEFT(B73,2),LEFT(B73,1))</f>
        <v>Ca</v>
      </c>
      <c r="K73" s="0" t="n">
        <f aca="false">IF(J73="","",_xlfn.XLOOKUP(TRIM(J73),Metallic_Radius_Table!A:A,Metallic_Radius_Table!B:B))</f>
        <v>1.97</v>
      </c>
      <c r="L73" s="0" t="str">
        <f aca="false">IF(ISNUMBER(SEARCH("La",B73)),"La",
 IF(ISNUMBER(SEARCH("Nd",B73)),"Nd",
 IF(ISNUMBER(SEARCH("Eu",B73)),"Eu",
 IF(ISNUMBER(SEARCH("Gd",B73)),"Gd",""))))</f>
        <v/>
      </c>
      <c r="M73" s="0" t="str">
        <f aca="false">IF(L73="","",_xlfn.XLOOKUP(TRIM(L73),Metallic_Radius_Table!A:A,Metallic_Radius_Table!B:B))</f>
        <v/>
      </c>
      <c r="N73" s="0" t="str">
        <f aca="false">TRIM(LEFT(C73,FIND(",",C73)-1))</f>
        <v>Fe</v>
      </c>
      <c r="O73" s="3" t="n">
        <f aca="false">IF(N73="","",_xlfn.XLOOKUP(TRIM(N73),Metallic_Radius_Table!A:A,Metallic_Radius_Table!B:B))</f>
        <v>1.26</v>
      </c>
      <c r="P73" s="0" t="s">
        <v>206</v>
      </c>
      <c r="Q73" s="0" t="n">
        <f aca="false">IF(P73="","",_xlfn.XLOOKUP(TRIM(P73),Metallic_Radius_Table!A:A,Metallic_Radius_Table!B:B))</f>
        <v>1.46</v>
      </c>
      <c r="R73" s="0" t="str">
        <f aca="false">IF(G73&gt;=1,   "Ferromagnetic / Ferrimagnetic",   IF(G73&gt;=0.05,      "Paramagnetic / Weakly magnetic",      "Antiferromagnetic / Diamagnetic"))</f>
        <v>Ferromagnetic / Ferrimagnetic</v>
      </c>
      <c r="U73" s="0" t="str">
        <f aca="false">IF(G73&gt;=1,
   "FM → PM (Curie-type)",
   IF(G73&lt;0.05,
      "AFM → PM (Néel-type)",
      "No long-range magnetic transition"))</f>
        <v>FM → PM (Curie-type)</v>
      </c>
    </row>
    <row r="74" customFormat="false" ht="13.8" hidden="false" customHeight="false" outlineLevel="0" collapsed="false">
      <c r="A74" s="0" t="s">
        <v>1087</v>
      </c>
      <c r="B74" s="0" t="s">
        <v>1088</v>
      </c>
      <c r="C74" s="0" t="s">
        <v>175</v>
      </c>
      <c r="D74" s="0" t="n">
        <v>-3.39693554833333</v>
      </c>
      <c r="E74" s="0" t="n">
        <v>0.047543369800028</v>
      </c>
      <c r="F74" s="0" t="n">
        <v>0</v>
      </c>
      <c r="G74" s="0" t="n">
        <v>15.7229297</v>
      </c>
      <c r="H74" s="0" t="s">
        <v>54</v>
      </c>
      <c r="I74" s="2" t="b">
        <f aca="false">TRUE()</f>
        <v>1</v>
      </c>
      <c r="J74" s="0" t="str">
        <f aca="false">IF(AND(CODE(MID(B74,2,1))&gt;=97,CODE(MID(B74,2,1))&lt;=122),LEFT(B74,2),LEFT(B74,1))</f>
        <v>Ca</v>
      </c>
      <c r="K74" s="0" t="n">
        <f aca="false">IF(J74="","",_xlfn.XLOOKUP(TRIM(J74),Metallic_Radius_Table!A:A,Metallic_Radius_Table!B:B))</f>
        <v>1.97</v>
      </c>
      <c r="L74" s="0" t="str">
        <f aca="false">IF(ISNUMBER(SEARCH("La",B74)),"La",
 IF(ISNUMBER(SEARCH("Nd",B74)),"Nd",
 IF(ISNUMBER(SEARCH("Eu",B74)),"Eu",
 IF(ISNUMBER(SEARCH("Gd",B74)),"Gd",""))))</f>
        <v>La</v>
      </c>
      <c r="M74" s="0" t="n">
        <f aca="false">IF(L74="","",_xlfn.XLOOKUP(TRIM(L74),Metallic_Radius_Table!A:A,Metallic_Radius_Table!B:B))</f>
        <v>1.87</v>
      </c>
      <c r="N74" s="0" t="str">
        <f aca="false">TRIM(LEFT(C74,FIND(",",C74)-1))</f>
        <v>Cr</v>
      </c>
      <c r="O74" s="3" t="n">
        <f aca="false">IF(N74="","",_xlfn.XLOOKUP(TRIM(N74),Metallic_Radius_Table!A:A,Metallic_Radius_Table!B:B))</f>
        <v>1.28</v>
      </c>
      <c r="P74" s="0" t="str">
        <f aca="false">TRIM(MID(C74,FIND(",",C74)+1,5))</f>
        <v>Ti</v>
      </c>
      <c r="Q74" s="0" t="n">
        <f aca="false">IF(P74="","",_xlfn.XLOOKUP(TRIM(P74),Metallic_Radius_Table!A:A,Metallic_Radius_Table!B:B))</f>
        <v>1.47</v>
      </c>
      <c r="R74" s="0" t="str">
        <f aca="false">IF(G74&gt;=1,   "Ferromagnetic / Ferrimagnetic",   IF(G74&gt;=0.05,      "Paramagnetic / Weakly magnetic",      "Antiferromagnetic / Diamagnetic"))</f>
        <v>Ferromagnetic / Ferrimagnetic</v>
      </c>
      <c r="U74" s="0" t="str">
        <f aca="false">IF(G74&gt;=1,
   "FM → PM (Curie-type)",
   IF(G74&lt;0.05,
      "AFM → PM (Néel-type)",
      "No long-range magnetic transition"))</f>
        <v>FM → PM (Curie-type)</v>
      </c>
    </row>
    <row r="75" customFormat="false" ht="13.8" hidden="false" customHeight="false" outlineLevel="0" collapsed="false">
      <c r="A75" s="0" t="s">
        <v>1089</v>
      </c>
      <c r="B75" s="0" t="s">
        <v>1090</v>
      </c>
      <c r="C75" s="0" t="s">
        <v>175</v>
      </c>
      <c r="D75" s="0" t="n">
        <v>-3.38019004313333</v>
      </c>
      <c r="E75" s="0" t="n">
        <v>0.045222699108336</v>
      </c>
      <c r="F75" s="0" t="n">
        <v>0</v>
      </c>
      <c r="G75" s="0" t="n">
        <v>28.4893188</v>
      </c>
      <c r="H75" s="0" t="s">
        <v>968</v>
      </c>
      <c r="I75" s="2" t="b">
        <f aca="false">TRUE()</f>
        <v>1</v>
      </c>
      <c r="J75" s="0" t="str">
        <f aca="false">IF(AND(CODE(MID(B75,2,1))&gt;=97,CODE(MID(B75,2,1))&lt;=122),LEFT(B75,2),LEFT(B75,1))</f>
        <v>Ca</v>
      </c>
      <c r="K75" s="0" t="n">
        <f aca="false">IF(J75="","",_xlfn.XLOOKUP(TRIM(J75),Metallic_Radius_Table!A:A,Metallic_Radius_Table!B:B))</f>
        <v>1.97</v>
      </c>
      <c r="L75" s="0" t="str">
        <f aca="false">IF(ISNUMBER(SEARCH("La",B75)),"La",
 IF(ISNUMBER(SEARCH("Nd",B75)),"Nd",
 IF(ISNUMBER(SEARCH("Eu",B75)),"Eu",
 IF(ISNUMBER(SEARCH("Gd",B75)),"Gd",""))))</f>
        <v>La</v>
      </c>
      <c r="M75" s="0" t="n">
        <f aca="false">IF(L75="","",_xlfn.XLOOKUP(TRIM(L75),Metallic_Radius_Table!A:A,Metallic_Radius_Table!B:B))</f>
        <v>1.87</v>
      </c>
      <c r="N75" s="0" t="str">
        <f aca="false">TRIM(LEFT(C75,FIND(",",C75)-1))</f>
        <v>Cr</v>
      </c>
      <c r="O75" s="3" t="n">
        <f aca="false">IF(N75="","",_xlfn.XLOOKUP(TRIM(N75),Metallic_Radius_Table!A:A,Metallic_Radius_Table!B:B))</f>
        <v>1.28</v>
      </c>
      <c r="P75" s="0" t="str">
        <f aca="false">TRIM(MID(C75,FIND(",",C75)+1,5))</f>
        <v>Ti</v>
      </c>
      <c r="Q75" s="0" t="n">
        <f aca="false">IF(P75="","",_xlfn.XLOOKUP(TRIM(P75),Metallic_Radius_Table!A:A,Metallic_Radius_Table!B:B))</f>
        <v>1.47</v>
      </c>
      <c r="R75" s="0" t="str">
        <f aca="false">IF(G75&gt;=1,   "Ferromagnetic / Ferrimagnetic",   IF(G75&gt;=0.05,      "Paramagnetic / Weakly magnetic",      "Antiferromagnetic / Diamagnetic"))</f>
        <v>Ferromagnetic / Ferrimagnetic</v>
      </c>
      <c r="U75" s="0" t="str">
        <f aca="false">IF(G75&gt;=1,
   "FM → PM (Curie-type)",
   IF(G75&lt;0.05,
      "AFM → PM (Néel-type)",
      "No long-range magnetic transition"))</f>
        <v>FM → PM (Curie-type)</v>
      </c>
    </row>
    <row r="76" customFormat="false" ht="13.8" hidden="false" customHeight="false" outlineLevel="0" collapsed="false">
      <c r="A76" s="0" t="s">
        <v>1091</v>
      </c>
      <c r="B76" s="0" t="s">
        <v>1092</v>
      </c>
      <c r="C76" s="0" t="s">
        <v>202</v>
      </c>
      <c r="D76" s="0" t="n">
        <v>-3.35065307263649</v>
      </c>
      <c r="E76" s="0" t="n">
        <v>0.022588550937426</v>
      </c>
      <c r="F76" s="0" t="n">
        <v>0.5773</v>
      </c>
      <c r="G76" s="0" t="n">
        <v>12.0007998</v>
      </c>
      <c r="H76" s="0" t="s">
        <v>58</v>
      </c>
      <c r="I76" s="2" t="b">
        <f aca="false">TRUE()</f>
        <v>1</v>
      </c>
      <c r="J76" s="0" t="str">
        <f aca="false">IF(AND(CODE(MID(B76,2,1))&gt;=97,CODE(MID(B76,2,1))&lt;=122),LEFT(B76,2),LEFT(B76,1))</f>
        <v>Ca</v>
      </c>
      <c r="K76" s="0" t="n">
        <f aca="false">IF(J76="","",_xlfn.XLOOKUP(TRIM(J76),Metallic_Radius_Table!A:A,Metallic_Radius_Table!B:B))</f>
        <v>1.97</v>
      </c>
      <c r="L76" s="0" t="str">
        <f aca="false">IF(ISNUMBER(SEARCH("La",B76)),"La",
 IF(ISNUMBER(SEARCH("Nd",B76)),"Nd",
 IF(ISNUMBER(SEARCH("Eu",B76)),"Eu",
 IF(ISNUMBER(SEARCH("Gd",B76)),"Gd",""))))</f>
        <v/>
      </c>
      <c r="M76" s="0" t="str">
        <f aca="false">IF(L76="","",_xlfn.XLOOKUP(TRIM(L76),Metallic_Radius_Table!A:A,Metallic_Radius_Table!B:B))</f>
        <v/>
      </c>
      <c r="N76" s="0" t="str">
        <f aca="false">TRIM(LEFT(C76,FIND(",",C76)-1))</f>
        <v>Mn</v>
      </c>
      <c r="O76" s="3" t="n">
        <f aca="false">IF(N76="","",_xlfn.XLOOKUP(TRIM(N76),Metallic_Radius_Table!A:A,Metallic_Radius_Table!B:B))</f>
        <v>1.27</v>
      </c>
      <c r="P76" s="0" t="str">
        <f aca="false">TRIM(MID(C76,FIND(",",C76)+1,5))</f>
        <v>Ti</v>
      </c>
      <c r="Q76" s="0" t="n">
        <f aca="false">IF(P76="","",_xlfn.XLOOKUP(TRIM(P76),Metallic_Radius_Table!A:A,Metallic_Radius_Table!B:B))</f>
        <v>1.47</v>
      </c>
      <c r="R76" s="0" t="str">
        <f aca="false">IF(G76&gt;=1,   "Ferromagnetic / Ferrimagnetic",   IF(G76&gt;=0.05,      "Paramagnetic / Weakly magnetic",      "Antiferromagnetic / Diamagnetic"))</f>
        <v>Ferromagnetic / Ferrimagnetic</v>
      </c>
      <c r="U76" s="0" t="str">
        <f aca="false">IF(G76&gt;=1,
   "FM → PM (Curie-type)",
   IF(G76&lt;0.05,
      "AFM → PM (Néel-type)",
      "No long-range magnetic transition"))</f>
        <v>FM → PM (Curie-type)</v>
      </c>
    </row>
    <row r="77" customFormat="false" ht="13.8" hidden="false" customHeight="false" outlineLevel="0" collapsed="false">
      <c r="A77" s="0" t="s">
        <v>1093</v>
      </c>
      <c r="B77" s="0" t="s">
        <v>1094</v>
      </c>
      <c r="C77" s="0" t="s">
        <v>76</v>
      </c>
      <c r="D77" s="0" t="n">
        <v>-2.66445210850862</v>
      </c>
      <c r="E77" s="0" t="n">
        <v>0.129153132531943</v>
      </c>
      <c r="F77" s="0" t="n">
        <v>0</v>
      </c>
      <c r="G77" s="0" t="n">
        <v>41.4736814</v>
      </c>
      <c r="H77" s="0" t="s">
        <v>58</v>
      </c>
      <c r="I77" s="2" t="b">
        <f aca="false">TRUE()</f>
        <v>1</v>
      </c>
      <c r="J77" s="0" t="str">
        <f aca="false">IF(AND(CODE(MID(B77,2,1))&gt;=97,CODE(MID(B77,2,1))&lt;=122),LEFT(B77,2),LEFT(B77,1))</f>
        <v>Ca</v>
      </c>
      <c r="K77" s="0" t="n">
        <f aca="false">IF(J77="","",_xlfn.XLOOKUP(TRIM(J77),Metallic_Radius_Table!A:A,Metallic_Radius_Table!B:B))</f>
        <v>1.97</v>
      </c>
      <c r="L77" s="0" t="str">
        <f aca="false">IF(ISNUMBER(SEARCH("La",B77)),"La",
 IF(ISNUMBER(SEARCH("Nd",B77)),"Nd",
 IF(ISNUMBER(SEARCH("Eu",B77)),"Eu",
 IF(ISNUMBER(SEARCH("Gd",B77)),"Gd",""))))</f>
        <v>La</v>
      </c>
      <c r="M77" s="0" t="n">
        <f aca="false">IF(L77="","",_xlfn.XLOOKUP(TRIM(L77),Metallic_Radius_Table!A:A,Metallic_Radius_Table!B:B))</f>
        <v>1.87</v>
      </c>
      <c r="N77" s="0" t="str">
        <f aca="false">TRIM(LEFT(C77,FIND(",",C77)-1))</f>
        <v>Mn</v>
      </c>
      <c r="O77" s="3" t="n">
        <f aca="false">IF(N77="","",_xlfn.XLOOKUP(TRIM(N77),Metallic_Radius_Table!A:A,Metallic_Radius_Table!B:B))</f>
        <v>1.27</v>
      </c>
      <c r="P77" s="0" t="str">
        <f aca="false">TRIM(MID(C77,FIND(",",C77)+1,5))</f>
        <v>Ru</v>
      </c>
      <c r="Q77" s="0" t="n">
        <f aca="false">IF(P77="","",_xlfn.XLOOKUP(TRIM(P77),Metallic_Radius_Table!A:A,Metallic_Radius_Table!B:B))</f>
        <v>1.34</v>
      </c>
      <c r="R77" s="0" t="str">
        <f aca="false">IF(G77&gt;=1,   "Ferromagnetic / Ferrimagnetic",   IF(G77&gt;=0.05,      "Paramagnetic / Weakly magnetic",      "Antiferromagnetic / Diamagnetic"))</f>
        <v>Ferromagnetic / Ferrimagnetic</v>
      </c>
      <c r="U77" s="0" t="str">
        <f aca="false">IF(G77&gt;=1,
   "FM → PM (Curie-type)",
   IF(G77&lt;0.05,
      "AFM → PM (Néel-type)",
      "No long-range magnetic transition"))</f>
        <v>FM → PM (Curie-type)</v>
      </c>
    </row>
    <row r="78" customFormat="false" ht="13.8" hidden="false" customHeight="false" outlineLevel="0" collapsed="false">
      <c r="A78" s="0" t="s">
        <v>1095</v>
      </c>
      <c r="B78" s="0" t="s">
        <v>1096</v>
      </c>
      <c r="C78" s="0" t="s">
        <v>283</v>
      </c>
      <c r="D78" s="0" t="n">
        <v>-2.76411102197758</v>
      </c>
      <c r="E78" s="0" t="n">
        <v>0.006015902350025</v>
      </c>
      <c r="F78" s="0" t="n">
        <v>0</v>
      </c>
      <c r="G78" s="0" t="n">
        <v>68.0000769</v>
      </c>
      <c r="H78" s="0" t="s">
        <v>58</v>
      </c>
      <c r="I78" s="2" t="b">
        <f aca="false">TRUE()</f>
        <v>1</v>
      </c>
      <c r="J78" s="0" t="str">
        <f aca="false">IF(AND(CODE(MID(B78,2,1))&gt;=97,CODE(MID(B78,2,1))&lt;=122),LEFT(B78,2),LEFT(B78,1))</f>
        <v>Ca</v>
      </c>
      <c r="K78" s="0" t="n">
        <f aca="false">IF(J78="","",_xlfn.XLOOKUP(TRIM(J78),Metallic_Radius_Table!A:A,Metallic_Radius_Table!B:B))</f>
        <v>1.97</v>
      </c>
      <c r="L78" s="0" t="str">
        <f aca="false">IF(ISNUMBER(SEARCH("La",B78)),"La",
 IF(ISNUMBER(SEARCH("Nd",B78)),"Nd",
 IF(ISNUMBER(SEARCH("Eu",B78)),"Eu",
 IF(ISNUMBER(SEARCH("Gd",B78)),"Gd",""))))</f>
        <v>Nd</v>
      </c>
      <c r="M78" s="0" t="n">
        <f aca="false">IF(L78="","",_xlfn.XLOOKUP(TRIM(L78),Metallic_Radius_Table!A:A,Metallic_Radius_Table!B:B))</f>
        <v>1.82</v>
      </c>
      <c r="N78" s="0" t="str">
        <f aca="false">TRIM(LEFT(C78,FIND(",",C78)-1))</f>
        <v>Cr</v>
      </c>
      <c r="O78" s="3" t="n">
        <f aca="false">IF(N78="","",_xlfn.XLOOKUP(TRIM(N78),Metallic_Radius_Table!A:A,Metallic_Radius_Table!B:B))</f>
        <v>1.28</v>
      </c>
      <c r="P78" s="0" t="str">
        <f aca="false">TRIM(MID(C78,FIND(",",C78)+1,5))</f>
        <v>Mn</v>
      </c>
      <c r="Q78" s="0" t="n">
        <f aca="false">IF(P78="","",_xlfn.XLOOKUP(TRIM(P78),Metallic_Radius_Table!A:A,Metallic_Radius_Table!B:B))</f>
        <v>1.27</v>
      </c>
      <c r="R78" s="0" t="str">
        <f aca="false">IF(G78&gt;=1,   "Ferromagnetic / Ferrimagnetic",   IF(G78&gt;=0.05,      "Paramagnetic / Weakly magnetic",      "Antiferromagnetic / Diamagnetic"))</f>
        <v>Ferromagnetic / Ferrimagnetic</v>
      </c>
      <c r="U78" s="0" t="str">
        <f aca="false">IF(G78&gt;=1,
   "FM → PM (Curie-type)",
   IF(G78&lt;0.05,
      "AFM → PM (Néel-type)",
      "No long-range magnetic transition"))</f>
        <v>FM → PM (Curie-type)</v>
      </c>
    </row>
    <row r="79" customFormat="false" ht="13.8" hidden="false" customHeight="false" outlineLevel="0" collapsed="false">
      <c r="A79" s="0" t="s">
        <v>1097</v>
      </c>
      <c r="B79" s="0" t="s">
        <v>1098</v>
      </c>
      <c r="C79" s="0" t="s">
        <v>347</v>
      </c>
      <c r="D79" s="0" t="n">
        <v>-2.35938774045454</v>
      </c>
      <c r="E79" s="0" t="n">
        <v>0.031848397045449</v>
      </c>
      <c r="F79" s="0" t="n">
        <v>0.1344</v>
      </c>
      <c r="G79" s="0" t="n">
        <v>8.0001661</v>
      </c>
      <c r="H79" s="0" t="s">
        <v>689</v>
      </c>
      <c r="I79" s="2" t="b">
        <f aca="false">TRUE()</f>
        <v>1</v>
      </c>
      <c r="J79" s="0" t="str">
        <f aca="false">IF(AND(CODE(MID(B79,2,1))&gt;=97,CODE(MID(B79,2,1))&lt;=122),LEFT(B79,2),LEFT(B79,1))</f>
        <v>Ca</v>
      </c>
      <c r="K79" s="0" t="n">
        <f aca="false">IF(J79="","",_xlfn.XLOOKUP(TRIM(J79),Metallic_Radius_Table!A:A,Metallic_Radius_Table!B:B))</f>
        <v>1.97</v>
      </c>
      <c r="L79" s="0" t="str">
        <f aca="false">IF(ISNUMBER(SEARCH("La",B79)),"La",
 IF(ISNUMBER(SEARCH("Nd",B79)),"Nd",
 IF(ISNUMBER(SEARCH("Eu",B79)),"Eu",
 IF(ISNUMBER(SEARCH("Gd",B79)),"Gd",""))))</f>
        <v/>
      </c>
      <c r="M79" s="0" t="str">
        <f aca="false">IF(L79="","",_xlfn.XLOOKUP(TRIM(L79),Metallic_Radius_Table!A:A,Metallic_Radius_Table!B:B))</f>
        <v/>
      </c>
      <c r="N79" s="0" t="str">
        <f aca="false">TRIM(LEFT(C79,FIND(",",C79)-1))</f>
        <v>Co</v>
      </c>
      <c r="O79" s="3" t="n">
        <f aca="false">IF(N79="","",_xlfn.XLOOKUP(TRIM(N79),Metallic_Radius_Table!A:A,Metallic_Radius_Table!B:B))</f>
        <v>1.25</v>
      </c>
      <c r="P79" s="0" t="str">
        <f aca="false">TRIM(MID(C79,FIND(",",C79)+1,5))</f>
        <v>Rh</v>
      </c>
      <c r="Q79" s="0" t="n">
        <f aca="false">IF(P79="","",_xlfn.XLOOKUP(TRIM(P79),Metallic_Radius_Table!A:A,Metallic_Radius_Table!B:B))</f>
        <v>1.34</v>
      </c>
      <c r="R79" s="0" t="str">
        <f aca="false">IF(G79&gt;=1,   "Ferromagnetic / Ferrimagnetic",   IF(G79&gt;=0.05,      "Paramagnetic / Weakly magnetic",      "Antiferromagnetic / Diamagnetic"))</f>
        <v>Ferromagnetic / Ferrimagnetic</v>
      </c>
      <c r="U79" s="0" t="str">
        <f aca="false">IF(G79&gt;=1,
   "FM → PM (Curie-type)",
   IF(G79&lt;0.05,
      "AFM → PM (Néel-type)",
      "No long-range magnetic transition"))</f>
        <v>FM → PM (Curie-type)</v>
      </c>
    </row>
    <row r="80" customFormat="false" ht="13.8" hidden="false" customHeight="false" outlineLevel="0" collapsed="false">
      <c r="A80" s="0" t="s">
        <v>1099</v>
      </c>
      <c r="B80" s="0" t="s">
        <v>1100</v>
      </c>
      <c r="C80" s="0" t="s">
        <v>175</v>
      </c>
      <c r="D80" s="0" t="n">
        <v>-3.30426528943333</v>
      </c>
      <c r="E80" s="0" t="n">
        <v>0.026188390700003</v>
      </c>
      <c r="F80" s="0" t="n">
        <v>0.1654</v>
      </c>
      <c r="G80" s="0" t="n">
        <v>27.7512198</v>
      </c>
      <c r="H80" s="0" t="s">
        <v>58</v>
      </c>
      <c r="I80" s="2" t="b">
        <f aca="false">TRUE()</f>
        <v>1</v>
      </c>
      <c r="J80" s="0" t="str">
        <f aca="false">IF(AND(CODE(MID(B80,2,1))&gt;=97,CODE(MID(B80,2,1))&lt;=122),LEFT(B80,2),LEFT(B80,1))</f>
        <v>Ca</v>
      </c>
      <c r="K80" s="0" t="n">
        <f aca="false">IF(J80="","",_xlfn.XLOOKUP(TRIM(J80),Metallic_Radius_Table!A:A,Metallic_Radius_Table!B:B))</f>
        <v>1.97</v>
      </c>
      <c r="L80" s="0" t="str">
        <f aca="false">IF(ISNUMBER(SEARCH("La",B80)),"La",
 IF(ISNUMBER(SEARCH("Nd",B80)),"Nd",
 IF(ISNUMBER(SEARCH("Eu",B80)),"Eu",
 IF(ISNUMBER(SEARCH("Gd",B80)),"Gd",""))))</f>
        <v>La</v>
      </c>
      <c r="M80" s="0" t="n">
        <f aca="false">IF(L80="","",_xlfn.XLOOKUP(TRIM(L80),Metallic_Radius_Table!A:A,Metallic_Radius_Table!B:B))</f>
        <v>1.87</v>
      </c>
      <c r="N80" s="0" t="str">
        <f aca="false">TRIM(LEFT(C80,FIND(",",C80)-1))</f>
        <v>Cr</v>
      </c>
      <c r="O80" s="3" t="n">
        <f aca="false">IF(N80="","",_xlfn.XLOOKUP(TRIM(N80),Metallic_Radius_Table!A:A,Metallic_Radius_Table!B:B))</f>
        <v>1.28</v>
      </c>
      <c r="P80" s="0" t="str">
        <f aca="false">TRIM(MID(C80,FIND(",",C80)+1,5))</f>
        <v>Ti</v>
      </c>
      <c r="Q80" s="0" t="n">
        <f aca="false">IF(P80="","",_xlfn.XLOOKUP(TRIM(P80),Metallic_Radius_Table!A:A,Metallic_Radius_Table!B:B))</f>
        <v>1.47</v>
      </c>
      <c r="R80" s="0" t="str">
        <f aca="false">IF(G80&gt;=1,   "Ferromagnetic / Ferrimagnetic",   IF(G80&gt;=0.05,      "Paramagnetic / Weakly magnetic",      "Antiferromagnetic / Diamagnetic"))</f>
        <v>Ferromagnetic / Ferrimagnetic</v>
      </c>
      <c r="U80" s="0" t="str">
        <f aca="false">IF(G80&gt;=1,
   "FM → PM (Curie-type)",
   IF(G80&lt;0.05,
      "AFM → PM (Néel-type)",
      "No long-range magnetic transition"))</f>
        <v>FM → PM (Curie-type)</v>
      </c>
    </row>
    <row r="81" customFormat="false" ht="13.8" hidden="false" customHeight="false" outlineLevel="0" collapsed="false">
      <c r="A81" s="0" t="s">
        <v>1101</v>
      </c>
      <c r="B81" s="0" t="s">
        <v>1102</v>
      </c>
      <c r="C81" s="0" t="s">
        <v>283</v>
      </c>
      <c r="D81" s="0" t="n">
        <v>-2.74262161720402</v>
      </c>
      <c r="E81" s="0" t="n">
        <v>0.024649017388894</v>
      </c>
      <c r="F81" s="0" t="n">
        <v>0</v>
      </c>
      <c r="G81" s="0" t="n">
        <v>41.0000873</v>
      </c>
      <c r="H81" s="0" t="s">
        <v>58</v>
      </c>
      <c r="I81" s="2" t="b">
        <f aca="false">TRUE()</f>
        <v>1</v>
      </c>
      <c r="J81" s="0" t="str">
        <f aca="false">IF(AND(CODE(MID(B81,2,1))&gt;=97,CODE(MID(B81,2,1))&lt;=122),LEFT(B81,2),LEFT(B81,1))</f>
        <v>Ca</v>
      </c>
      <c r="K81" s="0" t="n">
        <f aca="false">IF(J81="","",_xlfn.XLOOKUP(TRIM(J81),Metallic_Radius_Table!A:A,Metallic_Radius_Table!B:B))</f>
        <v>1.97</v>
      </c>
      <c r="L81" s="0" t="str">
        <f aca="false">IF(ISNUMBER(SEARCH("La",B81)),"La",
 IF(ISNUMBER(SEARCH("Nd",B81)),"Nd",
 IF(ISNUMBER(SEARCH("Eu",B81)),"Eu",
 IF(ISNUMBER(SEARCH("Gd",B81)),"Gd",""))))</f>
        <v>Nd</v>
      </c>
      <c r="M81" s="0" t="n">
        <f aca="false">IF(L81="","",_xlfn.XLOOKUP(TRIM(L81),Metallic_Radius_Table!A:A,Metallic_Radius_Table!B:B))</f>
        <v>1.82</v>
      </c>
      <c r="N81" s="0" t="str">
        <f aca="false">TRIM(LEFT(C81,FIND(",",C81)-1))</f>
        <v>Cr</v>
      </c>
      <c r="O81" s="3" t="n">
        <f aca="false">IF(N81="","",_xlfn.XLOOKUP(TRIM(N81),Metallic_Radius_Table!A:A,Metallic_Radius_Table!B:B))</f>
        <v>1.28</v>
      </c>
      <c r="P81" s="0" t="str">
        <f aca="false">TRIM(MID(C81,FIND(",",C81)+1,5))</f>
        <v>Mn</v>
      </c>
      <c r="Q81" s="0" t="n">
        <f aca="false">IF(P81="","",_xlfn.XLOOKUP(TRIM(P81),Metallic_Radius_Table!A:A,Metallic_Radius_Table!B:B))</f>
        <v>1.27</v>
      </c>
      <c r="R81" s="0" t="str">
        <f aca="false">IF(G81&gt;=1,   "Ferromagnetic / Ferrimagnetic",   IF(G81&gt;=0.05,      "Paramagnetic / Weakly magnetic",      "Antiferromagnetic / Diamagnetic"))</f>
        <v>Ferromagnetic / Ferrimagnetic</v>
      </c>
      <c r="U81" s="0" t="str">
        <f aca="false">IF(G81&gt;=1,
   "FM → PM (Curie-type)",
   IF(G81&lt;0.05,
      "AFM → PM (Néel-type)",
      "No long-range magnetic transition"))</f>
        <v>FM → PM (Curie-type)</v>
      </c>
    </row>
    <row r="82" customFormat="false" ht="13.8" hidden="false" customHeight="false" outlineLevel="0" collapsed="false">
      <c r="A82" s="0" t="s">
        <v>1103</v>
      </c>
      <c r="B82" s="0" t="s">
        <v>1104</v>
      </c>
      <c r="C82" s="0" t="s">
        <v>175</v>
      </c>
      <c r="D82" s="0" t="n">
        <v>-3.25702969143333</v>
      </c>
      <c r="E82" s="0" t="n">
        <v>0.020745718124999</v>
      </c>
      <c r="F82" s="0" t="n">
        <v>0</v>
      </c>
      <c r="G82" s="0" t="n">
        <v>25.9999154</v>
      </c>
      <c r="H82" s="0" t="s">
        <v>968</v>
      </c>
      <c r="I82" s="2" t="b">
        <f aca="false">TRUE()</f>
        <v>1</v>
      </c>
      <c r="J82" s="0" t="str">
        <f aca="false">IF(AND(CODE(MID(B82,2,1))&gt;=97,CODE(MID(B82,2,1))&lt;=122),LEFT(B82,2),LEFT(B82,1))</f>
        <v>Ca</v>
      </c>
      <c r="K82" s="0" t="n">
        <f aca="false">IF(J82="","",_xlfn.XLOOKUP(TRIM(J82),Metallic_Radius_Table!A:A,Metallic_Radius_Table!B:B))</f>
        <v>1.97</v>
      </c>
      <c r="L82" s="0" t="str">
        <f aca="false">IF(ISNUMBER(SEARCH("La",B82)),"La",
 IF(ISNUMBER(SEARCH("Nd",B82)),"Nd",
 IF(ISNUMBER(SEARCH("Eu",B82)),"Eu",
 IF(ISNUMBER(SEARCH("Gd",B82)),"Gd",""))))</f>
        <v>La</v>
      </c>
      <c r="M82" s="0" t="n">
        <f aca="false">IF(L82="","",_xlfn.XLOOKUP(TRIM(L82),Metallic_Radius_Table!A:A,Metallic_Radius_Table!B:B))</f>
        <v>1.87</v>
      </c>
      <c r="N82" s="0" t="str">
        <f aca="false">TRIM(LEFT(C82,FIND(",",C82)-1))</f>
        <v>Cr</v>
      </c>
      <c r="O82" s="3" t="n">
        <f aca="false">IF(N82="","",_xlfn.XLOOKUP(TRIM(N82),Metallic_Radius_Table!A:A,Metallic_Radius_Table!B:B))</f>
        <v>1.28</v>
      </c>
      <c r="P82" s="0" t="str">
        <f aca="false">TRIM(MID(C82,FIND(",",C82)+1,5))</f>
        <v>Ti</v>
      </c>
      <c r="Q82" s="0" t="n">
        <f aca="false">IF(P82="","",_xlfn.XLOOKUP(TRIM(P82),Metallic_Radius_Table!A:A,Metallic_Radius_Table!B:B))</f>
        <v>1.47</v>
      </c>
      <c r="R82" s="0" t="str">
        <f aca="false">IF(G82&gt;=1,   "Ferromagnetic / Ferrimagnetic",   IF(G82&gt;=0.05,      "Paramagnetic / Weakly magnetic",      "Antiferromagnetic / Diamagnetic"))</f>
        <v>Ferromagnetic / Ferrimagnetic</v>
      </c>
      <c r="U82" s="0" t="str">
        <f aca="false">IF(G82&gt;=1,
   "FM → PM (Curie-type)",
   IF(G82&lt;0.05,
      "AFM → PM (Néel-type)",
      "No long-range magnetic transition"))</f>
        <v>FM → PM (Curie-type)</v>
      </c>
    </row>
    <row r="83" customFormat="false" ht="13.8" hidden="false" customHeight="false" outlineLevel="0" collapsed="false">
      <c r="A83" s="0" t="s">
        <v>1105</v>
      </c>
      <c r="B83" s="0" t="s">
        <v>1106</v>
      </c>
      <c r="C83" s="0" t="s">
        <v>175</v>
      </c>
      <c r="D83" s="0" t="n">
        <v>-3.20236636653333</v>
      </c>
      <c r="E83" s="0" t="n">
        <v>0.02273077245</v>
      </c>
      <c r="F83" s="0" t="n">
        <v>0</v>
      </c>
      <c r="G83" s="0" t="n">
        <v>1.6805007</v>
      </c>
      <c r="H83" s="0" t="s">
        <v>54</v>
      </c>
      <c r="I83" s="2" t="b">
        <f aca="false">TRUE()</f>
        <v>1</v>
      </c>
      <c r="J83" s="0" t="str">
        <f aca="false">IF(AND(CODE(MID(B83,2,1))&gt;=97,CODE(MID(B83,2,1))&lt;=122),LEFT(B83,2),LEFT(B83,1))</f>
        <v>Ca</v>
      </c>
      <c r="K83" s="0" t="n">
        <f aca="false">IF(J83="","",_xlfn.XLOOKUP(TRIM(J83),Metallic_Radius_Table!A:A,Metallic_Radius_Table!B:B))</f>
        <v>1.97</v>
      </c>
      <c r="L83" s="0" t="str">
        <f aca="false">IF(ISNUMBER(SEARCH("La",B83)),"La",
 IF(ISNUMBER(SEARCH("Nd",B83)),"Nd",
 IF(ISNUMBER(SEARCH("Eu",B83)),"Eu",
 IF(ISNUMBER(SEARCH("Gd",B83)),"Gd",""))))</f>
        <v>La</v>
      </c>
      <c r="M83" s="0" t="n">
        <f aca="false">IF(L83="","",_xlfn.XLOOKUP(TRIM(L83),Metallic_Radius_Table!A:A,Metallic_Radius_Table!B:B))</f>
        <v>1.87</v>
      </c>
      <c r="N83" s="0" t="str">
        <f aca="false">TRIM(LEFT(C83,FIND(",",C83)-1))</f>
        <v>Cr</v>
      </c>
      <c r="O83" s="3" t="n">
        <f aca="false">IF(N83="","",_xlfn.XLOOKUP(TRIM(N83),Metallic_Radius_Table!A:A,Metallic_Radius_Table!B:B))</f>
        <v>1.28</v>
      </c>
      <c r="P83" s="0" t="str">
        <f aca="false">TRIM(MID(C83,FIND(",",C83)+1,5))</f>
        <v>Ti</v>
      </c>
      <c r="Q83" s="0" t="n">
        <f aca="false">IF(P83="","",_xlfn.XLOOKUP(TRIM(P83),Metallic_Radius_Table!A:A,Metallic_Radius_Table!B:B))</f>
        <v>1.47</v>
      </c>
      <c r="R83" s="0" t="str">
        <f aca="false">IF(G83&gt;=1,   "Ferromagnetic / Ferrimagnetic",   IF(G83&gt;=0.05,      "Paramagnetic / Weakly magnetic",      "Antiferromagnetic / Diamagnetic"))</f>
        <v>Ferromagnetic / Ferrimagnetic</v>
      </c>
      <c r="U83" s="0" t="str">
        <f aca="false">IF(G83&gt;=1,
   "FM → PM (Curie-type)",
   IF(G83&lt;0.05,
      "AFM → PM (Néel-type)",
      "No long-range magnetic transition"))</f>
        <v>FM → PM (Curie-type)</v>
      </c>
    </row>
    <row r="84" customFormat="false" ht="13.8" hidden="false" customHeight="false" outlineLevel="0" collapsed="false">
      <c r="A84" s="0" t="s">
        <v>1107</v>
      </c>
      <c r="B84" s="0" t="s">
        <v>1108</v>
      </c>
      <c r="C84" s="0" t="s">
        <v>202</v>
      </c>
      <c r="D84" s="0" t="n">
        <v>-2.98163358991839</v>
      </c>
      <c r="E84" s="0" t="n">
        <v>0.031024029316652</v>
      </c>
      <c r="F84" s="0" t="n">
        <v>0</v>
      </c>
      <c r="G84" s="0" t="n">
        <v>38.003046</v>
      </c>
      <c r="H84" s="0" t="s">
        <v>58</v>
      </c>
      <c r="I84" s="2" t="b">
        <f aca="false">TRUE()</f>
        <v>1</v>
      </c>
      <c r="J84" s="0" t="str">
        <f aca="false">IF(AND(CODE(MID(B84,2,1))&gt;=97,CODE(MID(B84,2,1))&lt;=122),LEFT(B84,2),LEFT(B84,1))</f>
        <v>Ca</v>
      </c>
      <c r="K84" s="0" t="n">
        <f aca="false">IF(J84="","",_xlfn.XLOOKUP(TRIM(J84),Metallic_Radius_Table!A:A,Metallic_Radius_Table!B:B))</f>
        <v>1.97</v>
      </c>
      <c r="L84" s="0" t="str">
        <f aca="false">IF(ISNUMBER(SEARCH("La",B84)),"La",
 IF(ISNUMBER(SEARCH("Nd",B84)),"Nd",
 IF(ISNUMBER(SEARCH("Eu",B84)),"Eu",
 IF(ISNUMBER(SEARCH("Gd",B84)),"Gd",""))))</f>
        <v>La</v>
      </c>
      <c r="M84" s="0" t="n">
        <f aca="false">IF(L84="","",_xlfn.XLOOKUP(TRIM(L84),Metallic_Radius_Table!A:A,Metallic_Radius_Table!B:B))</f>
        <v>1.87</v>
      </c>
      <c r="N84" s="0" t="str">
        <f aca="false">TRIM(LEFT(C84,FIND(",",C84)-1))</f>
        <v>Mn</v>
      </c>
      <c r="O84" s="3" t="n">
        <f aca="false">IF(N84="","",_xlfn.XLOOKUP(TRIM(N84),Metallic_Radius_Table!A:A,Metallic_Radius_Table!B:B))</f>
        <v>1.27</v>
      </c>
      <c r="P84" s="0" t="str">
        <f aca="false">TRIM(MID(C84,FIND(",",C84)+1,5))</f>
        <v>Ti</v>
      </c>
      <c r="Q84" s="0" t="n">
        <f aca="false">IF(P84="","",_xlfn.XLOOKUP(TRIM(P84),Metallic_Radius_Table!A:A,Metallic_Radius_Table!B:B))</f>
        <v>1.47</v>
      </c>
      <c r="R84" s="0" t="str">
        <f aca="false">IF(G84&gt;=1,   "Ferromagnetic / Ferrimagnetic",   IF(G84&gt;=0.05,      "Paramagnetic / Weakly magnetic",      "Antiferromagnetic / Diamagnetic"))</f>
        <v>Ferromagnetic / Ferrimagnetic</v>
      </c>
      <c r="U84" s="0" t="str">
        <f aca="false">IF(G84&gt;=1,
   "FM → PM (Curie-type)",
   IF(G84&lt;0.05,
      "AFM → PM (Néel-type)",
      "No long-range magnetic transition"))</f>
        <v>FM → PM (Curie-type)</v>
      </c>
    </row>
    <row r="85" customFormat="false" ht="13.8" hidden="false" customHeight="false" outlineLevel="0" collapsed="false">
      <c r="A85" s="0" t="s">
        <v>1109</v>
      </c>
      <c r="B85" s="0" t="s">
        <v>1110</v>
      </c>
      <c r="C85" s="0" t="s">
        <v>202</v>
      </c>
      <c r="D85" s="0" t="n">
        <v>-3.18386293793448</v>
      </c>
      <c r="E85" s="0" t="n">
        <v>0.032909511149995</v>
      </c>
      <c r="F85" s="0" t="n">
        <v>0</v>
      </c>
      <c r="G85" s="0" t="n">
        <v>26.0090354</v>
      </c>
      <c r="H85" s="0" t="s">
        <v>58</v>
      </c>
      <c r="I85" s="2" t="b">
        <f aca="false">TRUE()</f>
        <v>1</v>
      </c>
      <c r="J85" s="0" t="str">
        <f aca="false">IF(AND(CODE(MID(B85,2,1))&gt;=97,CODE(MID(B85,2,1))&lt;=122),LEFT(B85,2),LEFT(B85,1))</f>
        <v>Ca</v>
      </c>
      <c r="K85" s="0" t="n">
        <f aca="false">IF(J85="","",_xlfn.XLOOKUP(TRIM(J85),Metallic_Radius_Table!A:A,Metallic_Radius_Table!B:B))</f>
        <v>1.97</v>
      </c>
      <c r="L85" s="0" t="str">
        <f aca="false">IF(ISNUMBER(SEARCH("La",B85)),"La",
 IF(ISNUMBER(SEARCH("Nd",B85)),"Nd",
 IF(ISNUMBER(SEARCH("Eu",B85)),"Eu",
 IF(ISNUMBER(SEARCH("Gd",B85)),"Gd",""))))</f>
        <v>La</v>
      </c>
      <c r="M85" s="0" t="n">
        <f aca="false">IF(L85="","",_xlfn.XLOOKUP(TRIM(L85),Metallic_Radius_Table!A:A,Metallic_Radius_Table!B:B))</f>
        <v>1.87</v>
      </c>
      <c r="N85" s="0" t="str">
        <f aca="false">TRIM(LEFT(C85,FIND(",",C85)-1))</f>
        <v>Mn</v>
      </c>
      <c r="O85" s="3" t="n">
        <f aca="false">IF(N85="","",_xlfn.XLOOKUP(TRIM(N85),Metallic_Radius_Table!A:A,Metallic_Radius_Table!B:B))</f>
        <v>1.27</v>
      </c>
      <c r="P85" s="0" t="str">
        <f aca="false">TRIM(MID(C85,FIND(",",C85)+1,5))</f>
        <v>Ti</v>
      </c>
      <c r="Q85" s="0" t="n">
        <f aca="false">IF(P85="","",_xlfn.XLOOKUP(TRIM(P85),Metallic_Radius_Table!A:A,Metallic_Radius_Table!B:B))</f>
        <v>1.47</v>
      </c>
      <c r="R85" s="0" t="str">
        <f aca="false">IF(G85&gt;=1,   "Ferromagnetic / Ferrimagnetic",   IF(G85&gt;=0.05,      "Paramagnetic / Weakly magnetic",      "Antiferromagnetic / Diamagnetic"))</f>
        <v>Ferromagnetic / Ferrimagnetic</v>
      </c>
      <c r="U85" s="0" t="str">
        <f aca="false">IF(G85&gt;=1,
   "FM → PM (Curie-type)",
   IF(G85&lt;0.05,
      "AFM → PM (Néel-type)",
      "No long-range magnetic transition"))</f>
        <v>FM → PM (Curie-type)</v>
      </c>
    </row>
    <row r="86" customFormat="false" ht="13.8" hidden="false" customHeight="false" outlineLevel="0" collapsed="false">
      <c r="A86" s="0" t="s">
        <v>1111</v>
      </c>
      <c r="B86" s="0" t="s">
        <v>1112</v>
      </c>
      <c r="C86" s="0" t="s">
        <v>202</v>
      </c>
      <c r="D86" s="0" t="n">
        <v>-3.39133811715057</v>
      </c>
      <c r="E86" s="0" t="n">
        <v>0.029549161783327</v>
      </c>
      <c r="F86" s="0" t="n">
        <v>0</v>
      </c>
      <c r="G86" s="0" t="n">
        <v>14.0002989</v>
      </c>
      <c r="H86" s="0" t="s">
        <v>58</v>
      </c>
      <c r="I86" s="2" t="b">
        <f aca="false">TRUE()</f>
        <v>1</v>
      </c>
      <c r="J86" s="0" t="str">
        <f aca="false">IF(AND(CODE(MID(B86,2,1))&gt;=97,CODE(MID(B86,2,1))&lt;=122),LEFT(B86,2),LEFT(B86,1))</f>
        <v>Ca</v>
      </c>
      <c r="K86" s="0" t="n">
        <f aca="false">IF(J86="","",_xlfn.XLOOKUP(TRIM(J86),Metallic_Radius_Table!A:A,Metallic_Radius_Table!B:B))</f>
        <v>1.97</v>
      </c>
      <c r="L86" s="0" t="str">
        <f aca="false">IF(ISNUMBER(SEARCH("La",B86)),"La",
 IF(ISNUMBER(SEARCH("Nd",B86)),"Nd",
 IF(ISNUMBER(SEARCH("Eu",B86)),"Eu",
 IF(ISNUMBER(SEARCH("Gd",B86)),"Gd",""))))</f>
        <v>La</v>
      </c>
      <c r="M86" s="0" t="n">
        <f aca="false">IF(L86="","",_xlfn.XLOOKUP(TRIM(L86),Metallic_Radius_Table!A:A,Metallic_Radius_Table!B:B))</f>
        <v>1.87</v>
      </c>
      <c r="N86" s="0" t="str">
        <f aca="false">TRIM(LEFT(C86,FIND(",",C86)-1))</f>
        <v>Mn</v>
      </c>
      <c r="O86" s="3" t="n">
        <f aca="false">IF(N86="","",_xlfn.XLOOKUP(TRIM(N86),Metallic_Radius_Table!A:A,Metallic_Radius_Table!B:B))</f>
        <v>1.27</v>
      </c>
      <c r="P86" s="0" t="str">
        <f aca="false">TRIM(MID(C86,FIND(",",C86)+1,5))</f>
        <v>Ti</v>
      </c>
      <c r="Q86" s="0" t="n">
        <f aca="false">IF(P86="","",_xlfn.XLOOKUP(TRIM(P86),Metallic_Radius_Table!A:A,Metallic_Radius_Table!B:B))</f>
        <v>1.47</v>
      </c>
      <c r="R86" s="0" t="str">
        <f aca="false">IF(G86&gt;=1,   "Ferromagnetic / Ferrimagnetic",   IF(G86&gt;=0.05,      "Paramagnetic / Weakly magnetic",      "Antiferromagnetic / Diamagnetic"))</f>
        <v>Ferromagnetic / Ferrimagnetic</v>
      </c>
      <c r="U86" s="0" t="str">
        <f aca="false">IF(G86&gt;=1,
   "FM → PM (Curie-type)",
   IF(G86&lt;0.05,
      "AFM → PM (Néel-type)",
      "No long-range magnetic transition"))</f>
        <v>FM → PM (Curie-type)</v>
      </c>
    </row>
    <row r="87" customFormat="false" ht="13.8" hidden="false" customHeight="false" outlineLevel="0" collapsed="false">
      <c r="A87" s="0" t="s">
        <v>1113</v>
      </c>
      <c r="B87" s="0" t="s">
        <v>1114</v>
      </c>
      <c r="C87" s="0" t="s">
        <v>202</v>
      </c>
      <c r="D87" s="0" t="n">
        <v>-3.49328992305862</v>
      </c>
      <c r="E87" s="0" t="n">
        <v>0.021536123273818</v>
      </c>
      <c r="F87" s="0" t="n">
        <v>0</v>
      </c>
      <c r="G87" s="0" t="n">
        <v>8.0000539</v>
      </c>
      <c r="H87" s="0" t="s">
        <v>968</v>
      </c>
      <c r="I87" s="2" t="b">
        <f aca="false">TRUE()</f>
        <v>1</v>
      </c>
      <c r="J87" s="0" t="str">
        <f aca="false">IF(AND(CODE(MID(B87,2,1))&gt;=97,CODE(MID(B87,2,1))&lt;=122),LEFT(B87,2),LEFT(B87,1))</f>
        <v>Ca</v>
      </c>
      <c r="K87" s="0" t="n">
        <f aca="false">IF(J87="","",_xlfn.XLOOKUP(TRIM(J87),Metallic_Radius_Table!A:A,Metallic_Radius_Table!B:B))</f>
        <v>1.97</v>
      </c>
      <c r="L87" s="0" t="str">
        <f aca="false">IF(ISNUMBER(SEARCH("La",B87)),"La",
 IF(ISNUMBER(SEARCH("Nd",B87)),"Nd",
 IF(ISNUMBER(SEARCH("Eu",B87)),"Eu",
 IF(ISNUMBER(SEARCH("Gd",B87)),"Gd",""))))</f>
        <v>La</v>
      </c>
      <c r="M87" s="0" t="n">
        <f aca="false">IF(L87="","",_xlfn.XLOOKUP(TRIM(L87),Metallic_Radius_Table!A:A,Metallic_Radius_Table!B:B))</f>
        <v>1.87</v>
      </c>
      <c r="N87" s="0" t="str">
        <f aca="false">TRIM(LEFT(C87,FIND(",",C87)-1))</f>
        <v>Mn</v>
      </c>
      <c r="O87" s="3" t="n">
        <f aca="false">IF(N87="","",_xlfn.XLOOKUP(TRIM(N87),Metallic_Radius_Table!A:A,Metallic_Radius_Table!B:B))</f>
        <v>1.27</v>
      </c>
      <c r="P87" s="0" t="str">
        <f aca="false">TRIM(MID(C87,FIND(",",C87)+1,5))</f>
        <v>Ti</v>
      </c>
      <c r="Q87" s="0" t="n">
        <f aca="false">IF(P87="","",_xlfn.XLOOKUP(TRIM(P87),Metallic_Radius_Table!A:A,Metallic_Radius_Table!B:B))</f>
        <v>1.47</v>
      </c>
      <c r="R87" s="0" t="str">
        <f aca="false">IF(G87&gt;=1,   "Ferromagnetic / Ferrimagnetic",   IF(G87&gt;=0.05,      "Paramagnetic / Weakly magnetic",      "Antiferromagnetic / Diamagnetic"))</f>
        <v>Ferromagnetic / Ferrimagnetic</v>
      </c>
      <c r="U87" s="0" t="str">
        <f aca="false">IF(G87&gt;=1,
   "FM → PM (Curie-type)",
   IF(G87&lt;0.05,
      "AFM → PM (Néel-type)",
      "No long-range magnetic transition"))</f>
        <v>FM → PM (Curie-type)</v>
      </c>
    </row>
    <row r="88" customFormat="false" ht="13.8" hidden="false" customHeight="false" outlineLevel="0" collapsed="false">
      <c r="A88" s="0" t="s">
        <v>1115</v>
      </c>
      <c r="B88" s="0" t="s">
        <v>1116</v>
      </c>
      <c r="C88" s="0" t="s">
        <v>42</v>
      </c>
      <c r="D88" s="0" t="n">
        <v>-2.030630834</v>
      </c>
      <c r="E88" s="0" t="n">
        <v>0.181828468249996</v>
      </c>
      <c r="F88" s="0" t="n">
        <v>0</v>
      </c>
      <c r="G88" s="0" t="n">
        <v>20.000098</v>
      </c>
      <c r="H88" s="0" t="s">
        <v>352</v>
      </c>
      <c r="I88" s="2" t="b">
        <f aca="false">TRUE()</f>
        <v>1</v>
      </c>
      <c r="J88" s="0" t="str">
        <f aca="false">IF(AND(CODE(MID(B88,2,1))&gt;=97,CODE(MID(B88,2,1))&lt;=122),LEFT(B88,2),LEFT(B88,1))</f>
        <v>Ca</v>
      </c>
      <c r="K88" s="0" t="n">
        <f aca="false">IF(J88="","",_xlfn.XLOOKUP(TRIM(J88),Metallic_Radius_Table!A:A,Metallic_Radius_Table!B:B))</f>
        <v>1.97</v>
      </c>
      <c r="L88" s="0" t="str">
        <f aca="false">IF(ISNUMBER(SEARCH("La",B88)),"La",
 IF(ISNUMBER(SEARCH("Nd",B88)),"Nd",
 IF(ISNUMBER(SEARCH("Eu",B88)),"Eu",
 IF(ISNUMBER(SEARCH("Gd",B88)),"Gd",""))))</f>
        <v/>
      </c>
      <c r="M88" s="0" t="str">
        <f aca="false">IF(L88="","",_xlfn.XLOOKUP(TRIM(L88),Metallic_Radius_Table!A:A,Metallic_Radius_Table!B:B))</f>
        <v/>
      </c>
      <c r="N88" s="0" t="str">
        <f aca="false">TRIM(LEFT(C88,FIND(",",C88)-1))</f>
        <v>Fe</v>
      </c>
      <c r="O88" s="3" t="n">
        <f aca="false">IF(N88="","",_xlfn.XLOOKUP(TRIM(N88),Metallic_Radius_Table!A:A,Metallic_Radius_Table!B:B))</f>
        <v>1.26</v>
      </c>
      <c r="P88" s="0" t="str">
        <f aca="false">TRIM(MID(C88,FIND(",",C88)+1,5))</f>
        <v>Mo</v>
      </c>
      <c r="Q88" s="0" t="n">
        <f aca="false">IF(P88="","",_xlfn.XLOOKUP(TRIM(P88),Metallic_Radius_Table!A:A,Metallic_Radius_Table!B:B))</f>
        <v>1.39</v>
      </c>
      <c r="R88" s="0" t="str">
        <f aca="false">IF(G88&gt;=1,   "Ferromagnetic / Ferrimagnetic",   IF(G88&gt;=0.05,      "Paramagnetic / Weakly magnetic",      "Antiferromagnetic / Diamagnetic"))</f>
        <v>Ferromagnetic / Ferrimagnetic</v>
      </c>
      <c r="U88" s="0" t="str">
        <f aca="false">IF(G88&gt;=1,
   "FM → PM (Curie-type)",
   IF(G88&lt;0.05,
      "AFM → PM (Néel-type)",
      "No long-range magnetic transition"))</f>
        <v>FM → PM (Curie-type)</v>
      </c>
    </row>
    <row r="89" customFormat="false" ht="13.8" hidden="false" customHeight="false" outlineLevel="0" collapsed="false">
      <c r="A89" s="0" t="s">
        <v>1117</v>
      </c>
      <c r="B89" s="0" t="s">
        <v>1118</v>
      </c>
      <c r="C89" s="0" t="s">
        <v>143</v>
      </c>
      <c r="D89" s="0" t="n">
        <v>-1.823415379</v>
      </c>
      <c r="E89" s="0" t="n">
        <v>0.015868009</v>
      </c>
      <c r="F89" s="0" t="n">
        <v>0</v>
      </c>
      <c r="G89" s="0" t="n">
        <v>6.0001518</v>
      </c>
      <c r="H89" s="0" t="s">
        <v>450</v>
      </c>
      <c r="I89" s="2" t="b">
        <f aca="false">TRUE()</f>
        <v>1</v>
      </c>
      <c r="J89" s="0" t="str">
        <f aca="false">IF(AND(CODE(MID(B89,2,1))&gt;=97,CODE(MID(B89,2,1))&lt;=122),LEFT(B89,2),LEFT(B89,1))</f>
        <v>Cr</v>
      </c>
      <c r="K89" s="0" t="n">
        <f aca="false">IF(J89="","",_xlfn.XLOOKUP(TRIM(J89),Metallic_Radius_Table!A:A,Metallic_Radius_Table!B:B))</f>
        <v>1.28</v>
      </c>
      <c r="L89" s="0" t="str">
        <f aca="false">IF(ISNUMBER(SEARCH("La",B89)),"La",
 IF(ISNUMBER(SEARCH("Nd",B89)),"Nd",
 IF(ISNUMBER(SEARCH("Eu",B89)),"Eu",
 IF(ISNUMBER(SEARCH("Gd",B89)),"Gd",""))))</f>
        <v/>
      </c>
      <c r="M89" s="0" t="str">
        <f aca="false">IF(L89="","",_xlfn.XLOOKUP(TRIM(L89),Metallic_Radius_Table!A:A,Metallic_Radius_Table!B:B))</f>
        <v/>
      </c>
      <c r="N89" s="0" t="str">
        <f aca="false">TRIM(LEFT(C89,FIND(",",C89)-1))</f>
        <v>Cr</v>
      </c>
      <c r="O89" s="3" t="n">
        <f aca="false">IF(N89="","",_xlfn.XLOOKUP(TRIM(N89),Metallic_Radius_Table!A:A,Metallic_Radius_Table!B:B))</f>
        <v>1.28</v>
      </c>
      <c r="P89" s="0" t="str">
        <f aca="false">TRIM(MID(C89,FIND(",",C89)+1,5))</f>
        <v>Fe</v>
      </c>
      <c r="Q89" s="0" t="n">
        <f aca="false">IF(P89="","",_xlfn.XLOOKUP(TRIM(P89),Metallic_Radius_Table!A:A,Metallic_Radius_Table!B:B))</f>
        <v>1.26</v>
      </c>
      <c r="R89" s="0" t="str">
        <f aca="false">IF(G89&gt;=1,   "Ferromagnetic / Ferrimagnetic",   IF(G89&gt;=0.05,      "Paramagnetic / Weakly magnetic",      "Antiferromagnetic / Diamagnetic"))</f>
        <v>Ferromagnetic / Ferrimagnetic</v>
      </c>
      <c r="U89" s="0" t="str">
        <f aca="false">IF(G89&gt;=1,
   "FM → PM (Curie-type)",
   IF(G89&lt;0.05,
      "AFM → PM (Néel-type)",
      "No long-range magnetic transition"))</f>
        <v>FM → PM (Curie-type)</v>
      </c>
    </row>
    <row r="90" customFormat="false" ht="13.8" hidden="false" customHeight="false" outlineLevel="0" collapsed="false">
      <c r="A90" s="0" t="s">
        <v>1119</v>
      </c>
      <c r="B90" s="0" t="s">
        <v>1120</v>
      </c>
      <c r="C90" s="0" t="s">
        <v>699</v>
      </c>
      <c r="D90" s="0" t="n">
        <v>-1.5393829725</v>
      </c>
      <c r="E90" s="0" t="n">
        <v>0.081152168749999</v>
      </c>
      <c r="F90" s="0" t="n">
        <v>0.7248</v>
      </c>
      <c r="G90" s="0" t="n">
        <v>16.9994329</v>
      </c>
      <c r="H90" s="0" t="s">
        <v>58</v>
      </c>
      <c r="I90" s="2" t="b">
        <f aca="false">TRUE()</f>
        <v>1</v>
      </c>
      <c r="J90" s="0" t="str">
        <f aca="false">IF(AND(CODE(MID(B90,2,1))&gt;=97,CODE(MID(B90,2,1))&lt;=122),LEFT(B90,2),LEFT(B90,1))</f>
        <v>Fe</v>
      </c>
      <c r="K90" s="0" t="n">
        <f aca="false">IF(J90="","",_xlfn.XLOOKUP(TRIM(J90),Metallic_Radius_Table!A:A,Metallic_Radius_Table!B:B))</f>
        <v>1.26</v>
      </c>
      <c r="L90" s="0" t="str">
        <f aca="false">IF(ISNUMBER(SEARCH("La",B90)),"La",
 IF(ISNUMBER(SEARCH("Nd",B90)),"Nd",
 IF(ISNUMBER(SEARCH("Eu",B90)),"Eu",
 IF(ISNUMBER(SEARCH("Gd",B90)),"Gd",""))))</f>
        <v/>
      </c>
      <c r="M90" s="0" t="str">
        <f aca="false">IF(L90="","",_xlfn.XLOOKUP(TRIM(L90),Metallic_Radius_Table!A:A,Metallic_Radius_Table!B:B))</f>
        <v/>
      </c>
      <c r="N90" s="0" t="str">
        <f aca="false">TRIM(LEFT(C90,FIND(",",C90)-1))</f>
        <v>Co</v>
      </c>
      <c r="O90" s="3" t="n">
        <f aca="false">IF(N90="","",_xlfn.XLOOKUP(TRIM(N90),Metallic_Radius_Table!A:A,Metallic_Radius_Table!B:B))</f>
        <v>1.25</v>
      </c>
      <c r="P90" s="0" t="str">
        <f aca="false">TRIM(MID(C90,FIND(",",C90)+1,5))</f>
        <v>Fe</v>
      </c>
      <c r="Q90" s="0" t="n">
        <f aca="false">IF(P90="","",_xlfn.XLOOKUP(TRIM(P90),Metallic_Radius_Table!A:A,Metallic_Radius_Table!B:B))</f>
        <v>1.26</v>
      </c>
      <c r="R90" s="0" t="str">
        <f aca="false">IF(G90&gt;=1,   "Ferromagnetic / Ferrimagnetic",   IF(G90&gt;=0.05,      "Paramagnetic / Weakly magnetic",      "Antiferromagnetic / Diamagnetic"))</f>
        <v>Ferromagnetic / Ferrimagnetic</v>
      </c>
      <c r="U90" s="0" t="str">
        <f aca="false">IF(G90&gt;=1,
   "FM → PM (Curie-type)",
   IF(G90&lt;0.05,
      "AFM → PM (Néel-type)",
      "No long-range magnetic transition"))</f>
        <v>FM → PM (Curie-type)</v>
      </c>
    </row>
    <row r="91" customFormat="false" ht="13.8" hidden="false" customHeight="false" outlineLevel="0" collapsed="false">
      <c r="A91" s="0" t="s">
        <v>1121</v>
      </c>
      <c r="B91" s="0" t="s">
        <v>1122</v>
      </c>
      <c r="C91" s="0" t="s">
        <v>699</v>
      </c>
      <c r="D91" s="0" t="n">
        <v>-1.5903786766</v>
      </c>
      <c r="E91" s="0" t="n">
        <v>0.040931293200004</v>
      </c>
      <c r="F91" s="0" t="n">
        <v>1.08199999999999</v>
      </c>
      <c r="G91" s="0" t="n">
        <v>24.003711</v>
      </c>
      <c r="H91" s="0" t="s">
        <v>58</v>
      </c>
      <c r="I91" s="2" t="b">
        <f aca="false">TRUE()</f>
        <v>1</v>
      </c>
      <c r="J91" s="0" t="str">
        <f aca="false">IF(AND(CODE(MID(B91,2,1))&gt;=97,CODE(MID(B91,2,1))&lt;=122),LEFT(B91,2),LEFT(B91,1))</f>
        <v>Fe</v>
      </c>
      <c r="K91" s="0" t="n">
        <f aca="false">IF(J91="","",_xlfn.XLOOKUP(TRIM(J91),Metallic_Radius_Table!A:A,Metallic_Radius_Table!B:B))</f>
        <v>1.26</v>
      </c>
      <c r="L91" s="0" t="str">
        <f aca="false">IF(ISNUMBER(SEARCH("La",B91)),"La",
 IF(ISNUMBER(SEARCH("Nd",B91)),"Nd",
 IF(ISNUMBER(SEARCH("Eu",B91)),"Eu",
 IF(ISNUMBER(SEARCH("Gd",B91)),"Gd",""))))</f>
        <v/>
      </c>
      <c r="M91" s="0" t="str">
        <f aca="false">IF(L91="","",_xlfn.XLOOKUP(TRIM(L91),Metallic_Radius_Table!A:A,Metallic_Radius_Table!B:B))</f>
        <v/>
      </c>
      <c r="N91" s="0" t="str">
        <f aca="false">TRIM(LEFT(C91,FIND(",",C91)-1))</f>
        <v>Co</v>
      </c>
      <c r="O91" s="3" t="n">
        <f aca="false">IF(N91="","",_xlfn.XLOOKUP(TRIM(N91),Metallic_Radius_Table!A:A,Metallic_Radius_Table!B:B))</f>
        <v>1.25</v>
      </c>
      <c r="P91" s="0" t="str">
        <f aca="false">TRIM(MID(C91,FIND(",",C91)+1,5))</f>
        <v>Fe</v>
      </c>
      <c r="Q91" s="0" t="n">
        <f aca="false">IF(P91="","",_xlfn.XLOOKUP(TRIM(P91),Metallic_Radius_Table!A:A,Metallic_Radius_Table!B:B))</f>
        <v>1.26</v>
      </c>
      <c r="R91" s="0" t="str">
        <f aca="false">IF(G91&gt;=1,   "Ferromagnetic / Ferrimagnetic",   IF(G91&gt;=0.05,      "Paramagnetic / Weakly magnetic",      "Antiferromagnetic / Diamagnetic"))</f>
        <v>Ferromagnetic / Ferrimagnetic</v>
      </c>
      <c r="U91" s="0" t="str">
        <f aca="false">IF(G91&gt;=1,
   "FM → PM (Curie-type)",
   IF(G91&lt;0.05,
      "AFM → PM (Néel-type)",
      "No long-range magnetic transition"))</f>
        <v>FM → PM (Curie-type)</v>
      </c>
    </row>
    <row r="92" customFormat="false" ht="13.8" hidden="false" customHeight="false" outlineLevel="0" collapsed="false">
      <c r="A92" s="0" t="s">
        <v>1123</v>
      </c>
      <c r="B92" s="0" t="s">
        <v>1122</v>
      </c>
      <c r="C92" s="0" t="s">
        <v>699</v>
      </c>
      <c r="D92" s="0" t="n">
        <v>-1.585914807</v>
      </c>
      <c r="E92" s="0" t="n">
        <v>0.045395162800003</v>
      </c>
      <c r="F92" s="0" t="n">
        <v>1.4885</v>
      </c>
      <c r="G92" s="0" t="n">
        <v>39.9994175</v>
      </c>
      <c r="H92" s="0" t="s">
        <v>58</v>
      </c>
      <c r="I92" s="2" t="b">
        <f aca="false">TRUE()</f>
        <v>1</v>
      </c>
      <c r="J92" s="0" t="str">
        <f aca="false">IF(AND(CODE(MID(B92,2,1))&gt;=97,CODE(MID(B92,2,1))&lt;=122),LEFT(B92,2),LEFT(B92,1))</f>
        <v>Fe</v>
      </c>
      <c r="K92" s="0" t="n">
        <f aca="false">IF(J92="","",_xlfn.XLOOKUP(TRIM(J92),Metallic_Radius_Table!A:A,Metallic_Radius_Table!B:B))</f>
        <v>1.26</v>
      </c>
      <c r="L92" s="0" t="str">
        <f aca="false">IF(ISNUMBER(SEARCH("La",B92)),"La",
 IF(ISNUMBER(SEARCH("Nd",B92)),"Nd",
 IF(ISNUMBER(SEARCH("Eu",B92)),"Eu",
 IF(ISNUMBER(SEARCH("Gd",B92)),"Gd",""))))</f>
        <v/>
      </c>
      <c r="M92" s="0" t="str">
        <f aca="false">IF(L92="","",_xlfn.XLOOKUP(TRIM(L92),Metallic_Radius_Table!A:A,Metallic_Radius_Table!B:B))</f>
        <v/>
      </c>
      <c r="N92" s="0" t="str">
        <f aca="false">TRIM(LEFT(C92,FIND(",",C92)-1))</f>
        <v>Co</v>
      </c>
      <c r="O92" s="3" t="n">
        <f aca="false">IF(N92="","",_xlfn.XLOOKUP(TRIM(N92),Metallic_Radius_Table!A:A,Metallic_Radius_Table!B:B))</f>
        <v>1.25</v>
      </c>
      <c r="P92" s="0" t="str">
        <f aca="false">TRIM(MID(C92,FIND(",",C92)+1,5))</f>
        <v>Fe</v>
      </c>
      <c r="Q92" s="0" t="n">
        <f aca="false">IF(P92="","",_xlfn.XLOOKUP(TRIM(P92),Metallic_Radius_Table!A:A,Metallic_Radius_Table!B:B))</f>
        <v>1.26</v>
      </c>
      <c r="R92" s="0" t="str">
        <f aca="false">IF(G92&gt;=1,   "Ferromagnetic / Ferrimagnetic",   IF(G92&gt;=0.05,      "Paramagnetic / Weakly magnetic",      "Antiferromagnetic / Diamagnetic"))</f>
        <v>Ferromagnetic / Ferrimagnetic</v>
      </c>
      <c r="U92" s="0" t="str">
        <f aca="false">IF(G92&gt;=1,
   "FM → PM (Curie-type)",
   IF(G92&lt;0.05,
      "AFM → PM (Néel-type)",
      "No long-range magnetic transition"))</f>
        <v>FM → PM (Curie-type)</v>
      </c>
    </row>
    <row r="93" customFormat="false" ht="13.8" hidden="false" customHeight="false" outlineLevel="0" collapsed="false">
      <c r="A93" s="0" t="s">
        <v>1124</v>
      </c>
      <c r="B93" s="0" t="s">
        <v>1122</v>
      </c>
      <c r="C93" s="0" t="s">
        <v>699</v>
      </c>
      <c r="D93" s="0" t="n">
        <v>-1.585196247</v>
      </c>
      <c r="E93" s="0" t="n">
        <v>0.046113722800003</v>
      </c>
      <c r="F93" s="0" t="n">
        <v>1.3264</v>
      </c>
      <c r="G93" s="0" t="n">
        <v>40.00022</v>
      </c>
      <c r="H93" s="0" t="s">
        <v>58</v>
      </c>
      <c r="I93" s="2" t="b">
        <f aca="false">TRUE()</f>
        <v>1</v>
      </c>
      <c r="J93" s="0" t="str">
        <f aca="false">IF(AND(CODE(MID(B93,2,1))&gt;=97,CODE(MID(B93,2,1))&lt;=122),LEFT(B93,2),LEFT(B93,1))</f>
        <v>Fe</v>
      </c>
      <c r="K93" s="0" t="n">
        <f aca="false">IF(J93="","",_xlfn.XLOOKUP(TRIM(J93),Metallic_Radius_Table!A:A,Metallic_Radius_Table!B:B))</f>
        <v>1.26</v>
      </c>
      <c r="L93" s="0" t="str">
        <f aca="false">IF(ISNUMBER(SEARCH("La",B93)),"La",
 IF(ISNUMBER(SEARCH("Nd",B93)),"Nd",
 IF(ISNUMBER(SEARCH("Eu",B93)),"Eu",
 IF(ISNUMBER(SEARCH("Gd",B93)),"Gd",""))))</f>
        <v/>
      </c>
      <c r="M93" s="0" t="str">
        <f aca="false">IF(L93="","",_xlfn.XLOOKUP(TRIM(L93),Metallic_Radius_Table!A:A,Metallic_Radius_Table!B:B))</f>
        <v/>
      </c>
      <c r="N93" s="0" t="str">
        <f aca="false">TRIM(LEFT(C93,FIND(",",C93)-1))</f>
        <v>Co</v>
      </c>
      <c r="O93" s="3" t="n">
        <f aca="false">IF(N93="","",_xlfn.XLOOKUP(TRIM(N93),Metallic_Radius_Table!A:A,Metallic_Radius_Table!B:B))</f>
        <v>1.25</v>
      </c>
      <c r="P93" s="0" t="str">
        <f aca="false">TRIM(MID(C93,FIND(",",C93)+1,5))</f>
        <v>Fe</v>
      </c>
      <c r="Q93" s="0" t="n">
        <f aca="false">IF(P93="","",_xlfn.XLOOKUP(TRIM(P93),Metallic_Radius_Table!A:A,Metallic_Radius_Table!B:B))</f>
        <v>1.26</v>
      </c>
      <c r="R93" s="0" t="str">
        <f aca="false">IF(G93&gt;=1,   "Ferromagnetic / Ferrimagnetic",   IF(G93&gt;=0.05,      "Paramagnetic / Weakly magnetic",      "Antiferromagnetic / Diamagnetic"))</f>
        <v>Ferromagnetic / Ferrimagnetic</v>
      </c>
      <c r="U93" s="0" t="str">
        <f aca="false">IF(G93&gt;=1,
   "FM → PM (Curie-type)",
   IF(G93&lt;0.05,
      "AFM → PM (Néel-type)",
      "No long-range magnetic transition"))</f>
        <v>FM → PM (Curie-type)</v>
      </c>
    </row>
    <row r="94" customFormat="false" ht="13.8" hidden="false" customHeight="false" outlineLevel="0" collapsed="false">
      <c r="A94" s="0" t="s">
        <v>1125</v>
      </c>
      <c r="B94" s="0" t="s">
        <v>1126</v>
      </c>
      <c r="C94" s="0" t="s">
        <v>699</v>
      </c>
      <c r="D94" s="0" t="n">
        <v>-1.518898982</v>
      </c>
      <c r="E94" s="0" t="n">
        <v>0.047762016500001</v>
      </c>
      <c r="F94" s="0" t="n">
        <v>0.535499999999999</v>
      </c>
      <c r="G94" s="0" t="n">
        <v>8.9991275</v>
      </c>
      <c r="H94" s="0" t="s">
        <v>193</v>
      </c>
      <c r="I94" s="2" t="b">
        <f aca="false">TRUE()</f>
        <v>1</v>
      </c>
      <c r="J94" s="0" t="str">
        <f aca="false">IF(AND(CODE(MID(B94,2,1))&gt;=97,CODE(MID(B94,2,1))&lt;=122),LEFT(B94,2),LEFT(B94,1))</f>
        <v>Fe</v>
      </c>
      <c r="K94" s="0" t="n">
        <f aca="false">IF(J94="","",_xlfn.XLOOKUP(TRIM(J94),Metallic_Radius_Table!A:A,Metallic_Radius_Table!B:B))</f>
        <v>1.26</v>
      </c>
      <c r="L94" s="0" t="str">
        <f aca="false">IF(ISNUMBER(SEARCH("La",B94)),"La",
 IF(ISNUMBER(SEARCH("Nd",B94)),"Nd",
 IF(ISNUMBER(SEARCH("Eu",B94)),"Eu",
 IF(ISNUMBER(SEARCH("Gd",B94)),"Gd",""))))</f>
        <v/>
      </c>
      <c r="M94" s="0" t="str">
        <f aca="false">IF(L94="","",_xlfn.XLOOKUP(TRIM(L94),Metallic_Radius_Table!A:A,Metallic_Radius_Table!B:B))</f>
        <v/>
      </c>
      <c r="N94" s="0" t="str">
        <f aca="false">TRIM(LEFT(C94,FIND(",",C94)-1))</f>
        <v>Co</v>
      </c>
      <c r="O94" s="3" t="n">
        <f aca="false">IF(N94="","",_xlfn.XLOOKUP(TRIM(N94),Metallic_Radius_Table!A:A,Metallic_Radius_Table!B:B))</f>
        <v>1.25</v>
      </c>
      <c r="P94" s="0" t="str">
        <f aca="false">TRIM(MID(C94,FIND(",",C94)+1,5))</f>
        <v>Fe</v>
      </c>
      <c r="Q94" s="0" t="n">
        <f aca="false">IF(P94="","",_xlfn.XLOOKUP(TRIM(P94),Metallic_Radius_Table!A:A,Metallic_Radius_Table!B:B))</f>
        <v>1.26</v>
      </c>
      <c r="R94" s="0" t="str">
        <f aca="false">IF(G94&gt;=1,   "Ferromagnetic / Ferrimagnetic",   IF(G94&gt;=0.05,      "Paramagnetic / Weakly magnetic",      "Antiferromagnetic / Diamagnetic"))</f>
        <v>Ferromagnetic / Ferrimagnetic</v>
      </c>
      <c r="U94" s="0" t="str">
        <f aca="false">IF(G94&gt;=1,
   "FM → PM (Curie-type)",
   IF(G94&lt;0.05,
      "AFM → PM (Néel-type)",
      "No long-range magnetic transition"))</f>
        <v>FM → PM (Curie-type)</v>
      </c>
    </row>
    <row r="95" customFormat="false" ht="13.8" hidden="false" customHeight="false" outlineLevel="0" collapsed="false">
      <c r="A95" s="0" t="s">
        <v>1127</v>
      </c>
      <c r="B95" s="0" t="s">
        <v>1128</v>
      </c>
      <c r="C95" s="0" t="s">
        <v>996</v>
      </c>
      <c r="D95" s="0" t="n">
        <v>-2.03963256204464</v>
      </c>
      <c r="E95" s="0" t="n">
        <v>0.161080838671869</v>
      </c>
      <c r="F95" s="0" t="n">
        <v>0</v>
      </c>
      <c r="G95" s="0" t="n">
        <v>18.6840197</v>
      </c>
      <c r="H95" s="0" t="s">
        <v>1129</v>
      </c>
      <c r="I95" s="2" t="b">
        <f aca="false">TRUE()</f>
        <v>1</v>
      </c>
      <c r="J95" s="0" t="str">
        <f aca="false">IF(AND(CODE(MID(B95,2,1))&gt;=97,CODE(MID(B95,2,1))&lt;=122),LEFT(B95,2),LEFT(B95,1))</f>
        <v>K</v>
      </c>
      <c r="K95" s="0" t="n">
        <f aca="false">IF(J95="","",_xlfn.XLOOKUP(TRIM(J95),Metallic_Radius_Table!A:A,Metallic_Radius_Table!B:B))</f>
        <v>2.27</v>
      </c>
      <c r="L95" s="0" t="str">
        <f aca="false">IF(ISNUMBER(SEARCH("La",B95)),"La",
 IF(ISNUMBER(SEARCH("Nd",B95)),"Nd",
 IF(ISNUMBER(SEARCH("Eu",B95)),"Eu",
 IF(ISNUMBER(SEARCH("Gd",B95)),"Gd",""))))</f>
        <v/>
      </c>
      <c r="M95" s="0" t="str">
        <f aca="false">IF(L95="","",_xlfn.XLOOKUP(TRIM(L95),Metallic_Radius_Table!A:A,Metallic_Radius_Table!B:B))</f>
        <v/>
      </c>
      <c r="N95" s="0" t="str">
        <f aca="false">TRIM(LEFT(C95,FIND(",",C95)-1))</f>
        <v>Co</v>
      </c>
      <c r="O95" s="3" t="n">
        <f aca="false">IF(N95="","",_xlfn.XLOOKUP(TRIM(N95),Metallic_Radius_Table!A:A,Metallic_Radius_Table!B:B))</f>
        <v>1.25</v>
      </c>
      <c r="P95" s="0" t="str">
        <f aca="false">TRIM(MID(C95,FIND(",",C95)+1,5))</f>
        <v>Y</v>
      </c>
      <c r="Q95" s="0" t="n">
        <f aca="false">IF(P95="","",_xlfn.XLOOKUP(TRIM(P95),Metallic_Radius_Table!A:A,Metallic_Radius_Table!B:B))</f>
        <v>1.8</v>
      </c>
      <c r="R95" s="0" t="str">
        <f aca="false">IF(G95&gt;=1,   "Ferromagnetic / Ferrimagnetic",   IF(G95&gt;=0.05,      "Paramagnetic / Weakly magnetic",      "Antiferromagnetic / Diamagnetic"))</f>
        <v>Ferromagnetic / Ferrimagnetic</v>
      </c>
      <c r="U95" s="0" t="str">
        <f aca="false">IF(G95&gt;=1,
   "FM → PM (Curie-type)",
   IF(G95&lt;0.05,
      "AFM → PM (Néel-type)",
      "No long-range magnetic transition"))</f>
        <v>FM → PM (Curie-type)</v>
      </c>
    </row>
    <row r="96" customFormat="false" ht="13.8" hidden="false" customHeight="false" outlineLevel="0" collapsed="false">
      <c r="A96" s="0" t="s">
        <v>1130</v>
      </c>
      <c r="B96" s="0" t="s">
        <v>1131</v>
      </c>
      <c r="C96" s="0" t="s">
        <v>175</v>
      </c>
      <c r="D96" s="0" t="n">
        <v>-3.42416177559322</v>
      </c>
      <c r="E96" s="0" t="n">
        <v>0.066860396652538</v>
      </c>
      <c r="F96" s="0" t="n">
        <v>1.4458</v>
      </c>
      <c r="G96" s="0" t="n">
        <v>8.9999796</v>
      </c>
      <c r="H96" s="0" t="s">
        <v>58</v>
      </c>
      <c r="I96" s="2" t="b">
        <f aca="false">TRUE()</f>
        <v>1</v>
      </c>
      <c r="J96" s="0" t="str">
        <f aca="false">IF(AND(CODE(MID(B96,2,1))&gt;=97,CODE(MID(B96,2,1))&lt;=122),LEFT(B96,2),LEFT(B96,1))</f>
        <v>Li</v>
      </c>
      <c r="K96" s="0" t="n">
        <f aca="false">IF(J96="","",_xlfn.XLOOKUP(TRIM(J96),Metallic_Radius_Table!A:A,Metallic_Radius_Table!B:B))</f>
        <v>1.52</v>
      </c>
      <c r="L96" s="0" t="str">
        <f aca="false">IF(ISNUMBER(SEARCH("La",B96)),"La",
 IF(ISNUMBER(SEARCH("Nd",B96)),"Nd",
 IF(ISNUMBER(SEARCH("Eu",B96)),"Eu",
 IF(ISNUMBER(SEARCH("Gd",B96)),"Gd",""))))</f>
        <v>La</v>
      </c>
      <c r="M96" s="0" t="n">
        <f aca="false">IF(L96="","",_xlfn.XLOOKUP(TRIM(L96),Metallic_Radius_Table!A:A,Metallic_Radius_Table!B:B))</f>
        <v>1.87</v>
      </c>
      <c r="N96" s="0" t="str">
        <f aca="false">TRIM(LEFT(C96,FIND(",",C96)-1))</f>
        <v>Cr</v>
      </c>
      <c r="O96" s="3" t="n">
        <f aca="false">IF(N96="","",_xlfn.XLOOKUP(TRIM(N96),Metallic_Radius_Table!A:A,Metallic_Radius_Table!B:B))</f>
        <v>1.28</v>
      </c>
      <c r="P96" s="0" t="str">
        <f aca="false">TRIM(MID(C96,FIND(",",C96)+1,5))</f>
        <v>Ti</v>
      </c>
      <c r="Q96" s="0" t="n">
        <f aca="false">IF(P96="","",_xlfn.XLOOKUP(TRIM(P96),Metallic_Radius_Table!A:A,Metallic_Radius_Table!B:B))</f>
        <v>1.47</v>
      </c>
      <c r="R96" s="0" t="str">
        <f aca="false">IF(G96&gt;=1,   "Ferromagnetic / Ferrimagnetic",   IF(G96&gt;=0.05,      "Paramagnetic / Weakly magnetic",      "Antiferromagnetic / Diamagnetic"))</f>
        <v>Ferromagnetic / Ferrimagnetic</v>
      </c>
      <c r="U96" s="0" t="str">
        <f aca="false">IF(G96&gt;=1,
   "FM → PM (Curie-type)",
   IF(G96&lt;0.05,
      "AFM → PM (Néel-type)",
      "No long-range magnetic transition"))</f>
        <v>FM → PM (Curie-type)</v>
      </c>
    </row>
    <row r="97" customFormat="false" ht="13.8" hidden="false" customHeight="false" outlineLevel="0" collapsed="false">
      <c r="A97" s="0" t="s">
        <v>1132</v>
      </c>
      <c r="B97" s="0" t="s">
        <v>1133</v>
      </c>
      <c r="C97" s="0" t="s">
        <v>1134</v>
      </c>
      <c r="D97" s="0" t="n">
        <v>-2.00486413708333</v>
      </c>
      <c r="E97" s="0" t="n">
        <v>0.076282144930554</v>
      </c>
      <c r="F97" s="0" t="n">
        <v>0.180599999999999</v>
      </c>
      <c r="G97" s="4" t="n">
        <v>3.79999999999999E-006</v>
      </c>
      <c r="H97" s="0" t="s">
        <v>54</v>
      </c>
      <c r="I97" s="2" t="b">
        <f aca="false">TRUE()</f>
        <v>1</v>
      </c>
      <c r="J97" s="0" t="str">
        <f aca="false">IF(AND(CODE(MID(B97,2,1))&gt;=97,CODE(MID(B97,2,1))&lt;=122),LEFT(B97,2),LEFT(B97,1))</f>
        <v>Li</v>
      </c>
      <c r="K97" s="0" t="n">
        <f aca="false">IF(J97="","",_xlfn.XLOOKUP(TRIM(J97),Metallic_Radius_Table!A:A,Metallic_Radius_Table!B:B))</f>
        <v>1.52</v>
      </c>
      <c r="L97" s="0" t="str">
        <f aca="false">IF(ISNUMBER(SEARCH("La",B97)),"La",
 IF(ISNUMBER(SEARCH("Nd",B97)),"Nd",
 IF(ISNUMBER(SEARCH("Eu",B97)),"Eu",
 IF(ISNUMBER(SEARCH("Gd",B97)),"Gd",""))))</f>
        <v/>
      </c>
      <c r="M97" s="0" t="str">
        <f aca="false">IF(L97="","",_xlfn.XLOOKUP(TRIM(L97),Metallic_Radius_Table!A:A,Metallic_Radius_Table!B:B))</f>
        <v/>
      </c>
      <c r="N97" s="0" t="str">
        <f aca="false">TRIM(LEFT(C97,FIND(",",C97)-1))</f>
        <v>Ni</v>
      </c>
      <c r="O97" s="3" t="n">
        <f aca="false">IF(N97="","",_xlfn.XLOOKUP(TRIM(N97),Metallic_Radius_Table!A:A,Metallic_Radius_Table!B:B))</f>
        <v>1.24</v>
      </c>
      <c r="P97" s="0" t="str">
        <f aca="false">TRIM(MID(C97,FIND(",",C97)+1,5))</f>
        <v>Y</v>
      </c>
      <c r="Q97" s="0" t="n">
        <f aca="false">IF(P97="","",_xlfn.XLOOKUP(TRIM(P97),Metallic_Radius_Table!A:A,Metallic_Radius_Table!B:B))</f>
        <v>1.8</v>
      </c>
      <c r="R97" s="0" t="str">
        <f aca="false">IF(G97&gt;=1,   "Ferromagnetic / Ferrimagnetic",   IF(G97&gt;=0.05,      "Paramagnetic / Weakly magnetic",      "Antiferromagnetic / Diamagnetic"))</f>
        <v>Antiferromagnetic / Diamagnetic</v>
      </c>
      <c r="U97" s="0" t="str">
        <f aca="false">IF(G97&gt;=1,
   "FM → PM (Curie-type)",
   IF(G97&lt;0.05,
      "AFM → PM (Néel-type)",
      "No long-range magnetic transition"))</f>
        <v>AFM → PM (Néel-type)</v>
      </c>
    </row>
    <row r="98" customFormat="false" ht="13.8" hidden="false" customHeight="false" outlineLevel="0" collapsed="false">
      <c r="A98" s="0" t="s">
        <v>1135</v>
      </c>
      <c r="B98" s="0" t="s">
        <v>1133</v>
      </c>
      <c r="C98" s="0" t="s">
        <v>1134</v>
      </c>
      <c r="D98" s="0" t="n">
        <v>-2.01515281416666</v>
      </c>
      <c r="E98" s="0" t="n">
        <v>0.065993467847221</v>
      </c>
      <c r="F98" s="0" t="n">
        <v>0.7283</v>
      </c>
      <c r="G98" s="0" t="n">
        <v>3.9969957</v>
      </c>
      <c r="H98" s="0" t="s">
        <v>45</v>
      </c>
      <c r="I98" s="2" t="b">
        <f aca="false">TRUE()</f>
        <v>1</v>
      </c>
      <c r="J98" s="0" t="str">
        <f aca="false">IF(AND(CODE(MID(B98,2,1))&gt;=97,CODE(MID(B98,2,1))&lt;=122),LEFT(B98,2),LEFT(B98,1))</f>
        <v>Li</v>
      </c>
      <c r="K98" s="0" t="n">
        <f aca="false">IF(J98="","",_xlfn.XLOOKUP(TRIM(J98),Metallic_Radius_Table!A:A,Metallic_Radius_Table!B:B))</f>
        <v>1.52</v>
      </c>
      <c r="L98" s="0" t="str">
        <f aca="false">IF(ISNUMBER(SEARCH("La",B98)),"La",
 IF(ISNUMBER(SEARCH("Nd",B98)),"Nd",
 IF(ISNUMBER(SEARCH("Eu",B98)),"Eu",
 IF(ISNUMBER(SEARCH("Gd",B98)),"Gd",""))))</f>
        <v/>
      </c>
      <c r="M98" s="0" t="str">
        <f aca="false">IF(L98="","",_xlfn.XLOOKUP(TRIM(L98),Metallic_Radius_Table!A:A,Metallic_Radius_Table!B:B))</f>
        <v/>
      </c>
      <c r="N98" s="0" t="str">
        <f aca="false">TRIM(LEFT(C98,FIND(",",C98)-1))</f>
        <v>Ni</v>
      </c>
      <c r="O98" s="3" t="n">
        <f aca="false">IF(N98="","",_xlfn.XLOOKUP(TRIM(N98),Metallic_Radius_Table!A:A,Metallic_Radius_Table!B:B))</f>
        <v>1.24</v>
      </c>
      <c r="P98" s="0" t="str">
        <f aca="false">TRIM(MID(C98,FIND(",",C98)+1,5))</f>
        <v>Y</v>
      </c>
      <c r="Q98" s="0" t="n">
        <f aca="false">IF(P98="","",_xlfn.XLOOKUP(TRIM(P98),Metallic_Radius_Table!A:A,Metallic_Radius_Table!B:B))</f>
        <v>1.8</v>
      </c>
      <c r="R98" s="0" t="str">
        <f aca="false">IF(G98&gt;=1,   "Ferromagnetic / Ferrimagnetic",   IF(G98&gt;=0.05,      "Paramagnetic / Weakly magnetic",      "Antiferromagnetic / Diamagnetic"))</f>
        <v>Ferromagnetic / Ferrimagnetic</v>
      </c>
      <c r="U98" s="0" t="str">
        <f aca="false">IF(G98&gt;=1,
   "FM → PM (Curie-type)",
   IF(G98&lt;0.05,
      "AFM → PM (Néel-type)",
      "No long-range magnetic transition"))</f>
        <v>FM → PM (Curie-type)</v>
      </c>
    </row>
    <row r="99" customFormat="false" ht="13.8" hidden="false" customHeight="false" outlineLevel="0" collapsed="false">
      <c r="A99" s="0" t="s">
        <v>1136</v>
      </c>
      <c r="B99" s="0" t="s">
        <v>1133</v>
      </c>
      <c r="C99" s="0" t="s">
        <v>1134</v>
      </c>
      <c r="D99" s="0" t="n">
        <v>-2.00497147583333</v>
      </c>
      <c r="E99" s="0" t="n">
        <v>0.076174806180553</v>
      </c>
      <c r="F99" s="0" t="n">
        <v>0</v>
      </c>
      <c r="G99" s="0" t="n">
        <v>1.9996642</v>
      </c>
      <c r="H99" s="0" t="s">
        <v>43</v>
      </c>
      <c r="I99" s="2" t="b">
        <f aca="false">TRUE()</f>
        <v>1</v>
      </c>
      <c r="J99" s="0" t="str">
        <f aca="false">IF(AND(CODE(MID(B99,2,1))&gt;=97,CODE(MID(B99,2,1))&lt;=122),LEFT(B99,2),LEFT(B99,1))</f>
        <v>Li</v>
      </c>
      <c r="K99" s="0" t="n">
        <f aca="false">IF(J99="","",_xlfn.XLOOKUP(TRIM(J99),Metallic_Radius_Table!A:A,Metallic_Radius_Table!B:B))</f>
        <v>1.52</v>
      </c>
      <c r="L99" s="0" t="str">
        <f aca="false">IF(ISNUMBER(SEARCH("La",B99)),"La",
 IF(ISNUMBER(SEARCH("Nd",B99)),"Nd",
 IF(ISNUMBER(SEARCH("Eu",B99)),"Eu",
 IF(ISNUMBER(SEARCH("Gd",B99)),"Gd",""))))</f>
        <v/>
      </c>
      <c r="M99" s="0" t="str">
        <f aca="false">IF(L99="","",_xlfn.XLOOKUP(TRIM(L99),Metallic_Radius_Table!A:A,Metallic_Radius_Table!B:B))</f>
        <v/>
      </c>
      <c r="N99" s="0" t="str">
        <f aca="false">TRIM(LEFT(C99,FIND(",",C99)-1))</f>
        <v>Ni</v>
      </c>
      <c r="O99" s="3" t="n">
        <f aca="false">IF(N99="","",_xlfn.XLOOKUP(TRIM(N99),Metallic_Radius_Table!A:A,Metallic_Radius_Table!B:B))</f>
        <v>1.24</v>
      </c>
      <c r="P99" s="0" t="str">
        <f aca="false">TRIM(MID(C99,FIND(",",C99)+1,5))</f>
        <v>Y</v>
      </c>
      <c r="Q99" s="0" t="n">
        <f aca="false">IF(P99="","",_xlfn.XLOOKUP(TRIM(P99),Metallic_Radius_Table!A:A,Metallic_Radius_Table!B:B))</f>
        <v>1.8</v>
      </c>
      <c r="R99" s="0" t="str">
        <f aca="false">IF(G99&gt;=1,   "Ferromagnetic / Ferrimagnetic",   IF(G99&gt;=0.05,      "Paramagnetic / Weakly magnetic",      "Antiferromagnetic / Diamagnetic"))</f>
        <v>Ferromagnetic / Ferrimagnetic</v>
      </c>
      <c r="U99" s="0" t="str">
        <f aca="false">IF(G99&gt;=1,
   "FM → PM (Curie-type)",
   IF(G99&lt;0.05,
      "AFM → PM (Néel-type)",
      "No long-range magnetic transition"))</f>
        <v>FM → PM (Curie-type)</v>
      </c>
    </row>
    <row r="100" customFormat="false" ht="13.8" hidden="false" customHeight="false" outlineLevel="0" collapsed="false">
      <c r="A100" s="0" t="s">
        <v>1137</v>
      </c>
      <c r="B100" s="0" t="s">
        <v>1138</v>
      </c>
      <c r="C100" s="0" t="s">
        <v>396</v>
      </c>
      <c r="D100" s="0" t="n">
        <v>-1.64332351305747</v>
      </c>
      <c r="E100" s="0" t="n">
        <v>0.071869482499998</v>
      </c>
      <c r="F100" s="0" t="n">
        <v>0</v>
      </c>
      <c r="G100" s="0" t="n">
        <v>17.9989897</v>
      </c>
      <c r="H100" s="0" t="s">
        <v>1001</v>
      </c>
      <c r="I100" s="2" t="b">
        <f aca="false">TRUE()</f>
        <v>1</v>
      </c>
      <c r="J100" s="0" t="str">
        <f aca="false">IF(AND(CODE(MID(B100,2,1))&gt;=97,CODE(MID(B100,2,1))&lt;=122),LEFT(B100,2),LEFT(B100,1))</f>
        <v>Mn</v>
      </c>
      <c r="K100" s="0" t="n">
        <f aca="false">IF(J100="","",_xlfn.XLOOKUP(TRIM(J100),Metallic_Radius_Table!A:A,Metallic_Radius_Table!B:B))</f>
        <v>1.27</v>
      </c>
      <c r="L100" s="0" t="str">
        <f aca="false">IF(ISNUMBER(SEARCH("La",B100)),"La",
 IF(ISNUMBER(SEARCH("Nd",B100)),"Nd",
 IF(ISNUMBER(SEARCH("Eu",B100)),"Eu",
 IF(ISNUMBER(SEARCH("Gd",B100)),"Gd",""))))</f>
        <v/>
      </c>
      <c r="M100" s="0" t="str">
        <f aca="false">IF(L100="","",_xlfn.XLOOKUP(TRIM(L100),Metallic_Radius_Table!A:A,Metallic_Radius_Table!B:B))</f>
        <v/>
      </c>
      <c r="N100" s="0" t="str">
        <f aca="false">TRIM(LEFT(C100,FIND(",",C100)-1))</f>
        <v>Mn</v>
      </c>
      <c r="O100" s="3" t="n">
        <f aca="false">IF(N100="","",_xlfn.XLOOKUP(TRIM(N100),Metallic_Radius_Table!A:A,Metallic_Radius_Table!B:B))</f>
        <v>1.27</v>
      </c>
      <c r="P100" s="0" t="str">
        <f aca="false">TRIM(MID(C100,FIND(",",C100)+1,5))</f>
        <v>Ni</v>
      </c>
      <c r="Q100" s="0" t="n">
        <f aca="false">IF(P100="","",_xlfn.XLOOKUP(TRIM(P100),Metallic_Radius_Table!A:A,Metallic_Radius_Table!B:B))</f>
        <v>1.24</v>
      </c>
      <c r="R100" s="0" t="str">
        <f aca="false">IF(G100&gt;=1,   "Ferromagnetic / Ferrimagnetic",   IF(G100&gt;=0.05,      "Paramagnetic / Weakly magnetic",      "Antiferromagnetic / Diamagnetic"))</f>
        <v>Ferromagnetic / Ferrimagnetic</v>
      </c>
      <c r="U100" s="0" t="str">
        <f aca="false">IF(G100&gt;=1,
   "FM → PM (Curie-type)",
   IF(G100&lt;0.05,
      "AFM → PM (Néel-type)",
      "No long-range magnetic transition"))</f>
        <v>FM → PM (Curie-type)</v>
      </c>
    </row>
    <row r="101" customFormat="false" ht="13.8" hidden="false" customHeight="false" outlineLevel="0" collapsed="false">
      <c r="A101" s="0" t="s">
        <v>1139</v>
      </c>
      <c r="B101" s="0" t="s">
        <v>1140</v>
      </c>
      <c r="C101" s="0" t="s">
        <v>498</v>
      </c>
      <c r="D101" s="0" t="n">
        <v>-1.6310638622931</v>
      </c>
      <c r="E101" s="0" t="n">
        <v>0.028589515600008</v>
      </c>
      <c r="F101" s="0" t="n">
        <v>0</v>
      </c>
      <c r="G101" s="0" t="n">
        <v>11.9997801</v>
      </c>
      <c r="H101" s="0" t="s">
        <v>45</v>
      </c>
      <c r="I101" s="2" t="b">
        <f aca="false">TRUE()</f>
        <v>1</v>
      </c>
      <c r="J101" s="0" t="str">
        <f aca="false">IF(AND(CODE(MID(B101,2,1))&gt;=97,CODE(MID(B101,2,1))&lt;=122),LEFT(B101,2),LEFT(B101,1))</f>
        <v>Mn</v>
      </c>
      <c r="K101" s="0" t="n">
        <f aca="false">IF(J101="","",_xlfn.XLOOKUP(TRIM(J101),Metallic_Radius_Table!A:A,Metallic_Radius_Table!B:B))</f>
        <v>1.27</v>
      </c>
      <c r="L101" s="0" t="str">
        <f aca="false">IF(ISNUMBER(SEARCH("La",B101)),"La",
 IF(ISNUMBER(SEARCH("Nd",B101)),"Nd",
 IF(ISNUMBER(SEARCH("Eu",B101)),"Eu",
 IF(ISNUMBER(SEARCH("Gd",B101)),"Gd",""))))</f>
        <v/>
      </c>
      <c r="M101" s="0" t="str">
        <f aca="false">IF(L101="","",_xlfn.XLOOKUP(TRIM(L101),Metallic_Radius_Table!A:A,Metallic_Radius_Table!B:B))</f>
        <v/>
      </c>
      <c r="N101" s="0" t="str">
        <f aca="false">TRIM(LEFT(C101,FIND(",",C101)-1))</f>
        <v>Co</v>
      </c>
      <c r="O101" s="3" t="n">
        <f aca="false">IF(N101="","",_xlfn.XLOOKUP(TRIM(N101),Metallic_Radius_Table!A:A,Metallic_Radius_Table!B:B))</f>
        <v>1.25</v>
      </c>
      <c r="P101" s="0" t="str">
        <f aca="false">TRIM(MID(C101,FIND(",",C101)+1,5))</f>
        <v>Mn</v>
      </c>
      <c r="Q101" s="0" t="n">
        <f aca="false">IF(P101="","",_xlfn.XLOOKUP(TRIM(P101),Metallic_Radius_Table!A:A,Metallic_Radius_Table!B:B))</f>
        <v>1.27</v>
      </c>
      <c r="R101" s="0" t="str">
        <f aca="false">IF(G101&gt;=1,   "Ferromagnetic / Ferrimagnetic",   IF(G101&gt;=0.05,      "Paramagnetic / Weakly magnetic",      "Antiferromagnetic / Diamagnetic"))</f>
        <v>Ferromagnetic / Ferrimagnetic</v>
      </c>
      <c r="U101" s="0" t="str">
        <f aca="false">IF(G101&gt;=1,
   "FM → PM (Curie-type)",
   IF(G101&lt;0.05,
      "AFM → PM (Néel-type)",
      "No long-range magnetic transition"))</f>
        <v>FM → PM (Curie-type)</v>
      </c>
    </row>
    <row r="102" customFormat="false" ht="13.8" hidden="false" customHeight="false" outlineLevel="0" collapsed="false">
      <c r="A102" s="0" t="s">
        <v>1141</v>
      </c>
      <c r="B102" s="0" t="s">
        <v>1142</v>
      </c>
      <c r="C102" s="0" t="s">
        <v>286</v>
      </c>
      <c r="D102" s="0" t="n">
        <v>-1.67658531739655</v>
      </c>
      <c r="E102" s="0" t="n">
        <v>0.03937309520834</v>
      </c>
      <c r="F102" s="0" t="n">
        <v>0.9373</v>
      </c>
      <c r="G102" s="0" t="n">
        <v>19.0051544</v>
      </c>
      <c r="H102" s="0" t="s">
        <v>58</v>
      </c>
      <c r="I102" s="2" t="b">
        <f aca="false">TRUE()</f>
        <v>1</v>
      </c>
      <c r="J102" s="0" t="str">
        <f aca="false">IF(AND(CODE(MID(B102,2,1))&gt;=97,CODE(MID(B102,2,1))&lt;=122),LEFT(B102,2),LEFT(B102,1))</f>
        <v>Mn</v>
      </c>
      <c r="K102" s="0" t="n">
        <f aca="false">IF(J102="","",_xlfn.XLOOKUP(TRIM(J102),Metallic_Radius_Table!A:A,Metallic_Radius_Table!B:B))</f>
        <v>1.27</v>
      </c>
      <c r="L102" s="0" t="str">
        <f aca="false">IF(ISNUMBER(SEARCH("La",B102)),"La",
 IF(ISNUMBER(SEARCH("Nd",B102)),"Nd",
 IF(ISNUMBER(SEARCH("Eu",B102)),"Eu",
 IF(ISNUMBER(SEARCH("Gd",B102)),"Gd",""))))</f>
        <v/>
      </c>
      <c r="M102" s="0" t="str">
        <f aca="false">IF(L102="","",_xlfn.XLOOKUP(TRIM(L102),Metallic_Radius_Table!A:A,Metallic_Radius_Table!B:B))</f>
        <v/>
      </c>
      <c r="N102" s="0" t="str">
        <f aca="false">TRIM(LEFT(C102,FIND(",",C102)-1))</f>
        <v>Fe</v>
      </c>
      <c r="O102" s="3" t="n">
        <f aca="false">IF(N102="","",_xlfn.XLOOKUP(TRIM(N102),Metallic_Radius_Table!A:A,Metallic_Radius_Table!B:B))</f>
        <v>1.26</v>
      </c>
      <c r="P102" s="0" t="str">
        <f aca="false">TRIM(MID(C102,FIND(",",C102)+1,5))</f>
        <v>Mn</v>
      </c>
      <c r="Q102" s="0" t="n">
        <f aca="false">IF(P102="","",_xlfn.XLOOKUP(TRIM(P102),Metallic_Radius_Table!A:A,Metallic_Radius_Table!B:B))</f>
        <v>1.27</v>
      </c>
      <c r="R102" s="0" t="str">
        <f aca="false">IF(G102&gt;=1,   "Ferromagnetic / Ferrimagnetic",   IF(G102&gt;=0.05,      "Paramagnetic / Weakly magnetic",      "Antiferromagnetic / Diamagnetic"))</f>
        <v>Ferromagnetic / Ferrimagnetic</v>
      </c>
      <c r="U102" s="0" t="str">
        <f aca="false">IF(G102&gt;=1,
   "FM → PM (Curie-type)",
   IF(G102&lt;0.05,
      "AFM → PM (Néel-type)",
      "No long-range magnetic transition"))</f>
        <v>FM → PM (Curie-type)</v>
      </c>
    </row>
    <row r="103" customFormat="false" ht="13.8" hidden="false" customHeight="false" outlineLevel="0" collapsed="false">
      <c r="A103" s="0" t="s">
        <v>1143</v>
      </c>
      <c r="B103" s="0" t="s">
        <v>1144</v>
      </c>
      <c r="C103" s="0" t="s">
        <v>286</v>
      </c>
      <c r="D103" s="0" t="n">
        <v>-1.66817717531724</v>
      </c>
      <c r="E103" s="0" t="n">
        <v>0.039471411566676</v>
      </c>
      <c r="F103" s="0" t="n">
        <v>1.0898</v>
      </c>
      <c r="G103" s="0" t="n">
        <v>48.0033043</v>
      </c>
      <c r="H103" s="0" t="s">
        <v>58</v>
      </c>
      <c r="I103" s="2" t="b">
        <f aca="false">TRUE()</f>
        <v>1</v>
      </c>
      <c r="J103" s="0" t="str">
        <f aca="false">IF(AND(CODE(MID(B103,2,1))&gt;=97,CODE(MID(B103,2,1))&lt;=122),LEFT(B103,2),LEFT(B103,1))</f>
        <v>Mn</v>
      </c>
      <c r="K103" s="0" t="n">
        <f aca="false">IF(J103="","",_xlfn.XLOOKUP(TRIM(J103),Metallic_Radius_Table!A:A,Metallic_Radius_Table!B:B))</f>
        <v>1.27</v>
      </c>
      <c r="L103" s="0" t="str">
        <f aca="false">IF(ISNUMBER(SEARCH("La",B103)),"La",
 IF(ISNUMBER(SEARCH("Nd",B103)),"Nd",
 IF(ISNUMBER(SEARCH("Eu",B103)),"Eu",
 IF(ISNUMBER(SEARCH("Gd",B103)),"Gd",""))))</f>
        <v/>
      </c>
      <c r="M103" s="0" t="str">
        <f aca="false">IF(L103="","",_xlfn.XLOOKUP(TRIM(L103),Metallic_Radius_Table!A:A,Metallic_Radius_Table!B:B))</f>
        <v/>
      </c>
      <c r="N103" s="0" t="str">
        <f aca="false">TRIM(LEFT(C103,FIND(",",C103)-1))</f>
        <v>Fe</v>
      </c>
      <c r="O103" s="3" t="n">
        <f aca="false">IF(N103="","",_xlfn.XLOOKUP(TRIM(N103),Metallic_Radius_Table!A:A,Metallic_Radius_Table!B:B))</f>
        <v>1.26</v>
      </c>
      <c r="P103" s="0" t="str">
        <f aca="false">TRIM(MID(C103,FIND(",",C103)+1,5))</f>
        <v>Mn</v>
      </c>
      <c r="Q103" s="0" t="n">
        <f aca="false">IF(P103="","",_xlfn.XLOOKUP(TRIM(P103),Metallic_Radius_Table!A:A,Metallic_Radius_Table!B:B))</f>
        <v>1.27</v>
      </c>
      <c r="R103" s="0" t="str">
        <f aca="false">IF(G103&gt;=1,   "Ferromagnetic / Ferrimagnetic",   IF(G103&gt;=0.05,      "Paramagnetic / Weakly magnetic",      "Antiferromagnetic / Diamagnetic"))</f>
        <v>Ferromagnetic / Ferrimagnetic</v>
      </c>
      <c r="U103" s="0" t="str">
        <f aca="false">IF(G103&gt;=1,
   "FM → PM (Curie-type)",
   IF(G103&lt;0.05,
      "AFM → PM (Néel-type)",
      "No long-range magnetic transition"))</f>
        <v>FM → PM (Curie-type)</v>
      </c>
    </row>
    <row r="104" customFormat="false" ht="13.8" hidden="false" customHeight="false" outlineLevel="0" collapsed="false">
      <c r="A104" s="0" t="s">
        <v>1145</v>
      </c>
      <c r="B104" s="0" t="s">
        <v>1144</v>
      </c>
      <c r="C104" s="0" t="s">
        <v>286</v>
      </c>
      <c r="D104" s="0" t="n">
        <v>-1.65411908411724</v>
      </c>
      <c r="E104" s="0" t="n">
        <v>0.053529502766676</v>
      </c>
      <c r="F104" s="0" t="n">
        <v>0</v>
      </c>
      <c r="G104" s="0" t="n">
        <v>47.9997161</v>
      </c>
      <c r="H104" s="0" t="s">
        <v>58</v>
      </c>
      <c r="I104" s="2" t="b">
        <f aca="false">TRUE()</f>
        <v>1</v>
      </c>
      <c r="J104" s="0" t="str">
        <f aca="false">IF(AND(CODE(MID(B104,2,1))&gt;=97,CODE(MID(B104,2,1))&lt;=122),LEFT(B104,2),LEFT(B104,1))</f>
        <v>Mn</v>
      </c>
      <c r="K104" s="0" t="n">
        <f aca="false">IF(J104="","",_xlfn.XLOOKUP(TRIM(J104),Metallic_Radius_Table!A:A,Metallic_Radius_Table!B:B))</f>
        <v>1.27</v>
      </c>
      <c r="L104" s="0" t="str">
        <f aca="false">IF(ISNUMBER(SEARCH("La",B104)),"La",
 IF(ISNUMBER(SEARCH("Nd",B104)),"Nd",
 IF(ISNUMBER(SEARCH("Eu",B104)),"Eu",
 IF(ISNUMBER(SEARCH("Gd",B104)),"Gd",""))))</f>
        <v/>
      </c>
      <c r="M104" s="0" t="str">
        <f aca="false">IF(L104="","",_xlfn.XLOOKUP(TRIM(L104),Metallic_Radius_Table!A:A,Metallic_Radius_Table!B:B))</f>
        <v/>
      </c>
      <c r="N104" s="0" t="str">
        <f aca="false">TRIM(LEFT(C104,FIND(",",C104)-1))</f>
        <v>Fe</v>
      </c>
      <c r="O104" s="3" t="n">
        <f aca="false">IF(N104="","",_xlfn.XLOOKUP(TRIM(N104),Metallic_Radius_Table!A:A,Metallic_Radius_Table!B:B))</f>
        <v>1.26</v>
      </c>
      <c r="P104" s="0" t="str">
        <f aca="false">TRIM(MID(C104,FIND(",",C104)+1,5))</f>
        <v>Mn</v>
      </c>
      <c r="Q104" s="0" t="n">
        <f aca="false">IF(P104="","",_xlfn.XLOOKUP(TRIM(P104),Metallic_Radius_Table!A:A,Metallic_Radius_Table!B:B))</f>
        <v>1.27</v>
      </c>
      <c r="R104" s="0" t="str">
        <f aca="false">IF(G104&gt;=1,   "Ferromagnetic / Ferrimagnetic",   IF(G104&gt;=0.05,      "Paramagnetic / Weakly magnetic",      "Antiferromagnetic / Diamagnetic"))</f>
        <v>Ferromagnetic / Ferrimagnetic</v>
      </c>
      <c r="U104" s="0" t="str">
        <f aca="false">IF(G104&gt;=1,
   "FM → PM (Curie-type)",
   IF(G104&lt;0.05,
      "AFM → PM (Néel-type)",
      "No long-range magnetic transition"))</f>
        <v>FM → PM (Curie-type)</v>
      </c>
    </row>
    <row r="105" customFormat="false" ht="13.8" hidden="false" customHeight="false" outlineLevel="0" collapsed="false">
      <c r="A105" s="0" t="s">
        <v>1146</v>
      </c>
      <c r="B105" s="0" t="s">
        <v>1147</v>
      </c>
      <c r="C105" s="0" t="s">
        <v>396</v>
      </c>
      <c r="D105" s="0" t="n">
        <v>-1.6133371367931</v>
      </c>
      <c r="E105" s="0" t="n">
        <v>0.022915512916658</v>
      </c>
      <c r="F105" s="0" t="n">
        <v>0.8542</v>
      </c>
      <c r="G105" s="0" t="n">
        <v>10.0000746</v>
      </c>
      <c r="H105" s="0" t="s">
        <v>1001</v>
      </c>
      <c r="I105" s="2" t="b">
        <f aca="false">TRUE()</f>
        <v>1</v>
      </c>
      <c r="J105" s="0" t="str">
        <f aca="false">IF(AND(CODE(MID(B105,2,1))&gt;=97,CODE(MID(B105,2,1))&lt;=122),LEFT(B105,2),LEFT(B105,1))</f>
        <v>Mn</v>
      </c>
      <c r="K105" s="0" t="n">
        <f aca="false">IF(J105="","",_xlfn.XLOOKUP(TRIM(J105),Metallic_Radius_Table!A:A,Metallic_Radius_Table!B:B))</f>
        <v>1.27</v>
      </c>
      <c r="L105" s="0" t="str">
        <f aca="false">IF(ISNUMBER(SEARCH("La",B105)),"La",
 IF(ISNUMBER(SEARCH("Nd",B105)),"Nd",
 IF(ISNUMBER(SEARCH("Eu",B105)),"Eu",
 IF(ISNUMBER(SEARCH("Gd",B105)),"Gd",""))))</f>
        <v/>
      </c>
      <c r="M105" s="0" t="str">
        <f aca="false">IF(L105="","",_xlfn.XLOOKUP(TRIM(L105),Metallic_Radius_Table!A:A,Metallic_Radius_Table!B:B))</f>
        <v/>
      </c>
      <c r="N105" s="0" t="str">
        <f aca="false">TRIM(LEFT(C105,FIND(",",C105)-1))</f>
        <v>Mn</v>
      </c>
      <c r="O105" s="3" t="n">
        <f aca="false">IF(N105="","",_xlfn.XLOOKUP(TRIM(N105),Metallic_Radius_Table!A:A,Metallic_Radius_Table!B:B))</f>
        <v>1.27</v>
      </c>
      <c r="P105" s="0" t="str">
        <f aca="false">TRIM(MID(C105,FIND(",",C105)+1,5))</f>
        <v>Ni</v>
      </c>
      <c r="Q105" s="0" t="n">
        <f aca="false">IF(P105="","",_xlfn.XLOOKUP(TRIM(P105),Metallic_Radius_Table!A:A,Metallic_Radius_Table!B:B))</f>
        <v>1.24</v>
      </c>
      <c r="R105" s="0" t="str">
        <f aca="false">IF(G105&gt;=1,   "Ferromagnetic / Ferrimagnetic",   IF(G105&gt;=0.05,      "Paramagnetic / Weakly magnetic",      "Antiferromagnetic / Diamagnetic"))</f>
        <v>Ferromagnetic / Ferrimagnetic</v>
      </c>
      <c r="U105" s="0" t="str">
        <f aca="false">IF(G105&gt;=1,
   "FM → PM (Curie-type)",
   IF(G105&lt;0.05,
      "AFM → PM (Néel-type)",
      "No long-range magnetic transition"))</f>
        <v>FM → PM (Curie-type)</v>
      </c>
    </row>
    <row r="106" customFormat="false" ht="13.8" hidden="false" customHeight="false" outlineLevel="0" collapsed="false">
      <c r="A106" s="0" t="s">
        <v>1148</v>
      </c>
      <c r="B106" s="0" t="s">
        <v>1147</v>
      </c>
      <c r="C106" s="0" t="s">
        <v>396</v>
      </c>
      <c r="D106" s="0" t="n">
        <v>-1.6210115997931</v>
      </c>
      <c r="E106" s="0" t="n">
        <v>0.015241049916658</v>
      </c>
      <c r="F106" s="0" t="n">
        <v>0</v>
      </c>
      <c r="G106" s="0" t="n">
        <v>9.997192</v>
      </c>
      <c r="H106" s="0" t="s">
        <v>352</v>
      </c>
      <c r="I106" s="2" t="b">
        <f aca="false">TRUE()</f>
        <v>1</v>
      </c>
      <c r="J106" s="0" t="str">
        <f aca="false">IF(AND(CODE(MID(B106,2,1))&gt;=97,CODE(MID(B106,2,1))&lt;=122),LEFT(B106,2),LEFT(B106,1))</f>
        <v>Mn</v>
      </c>
      <c r="K106" s="0" t="n">
        <f aca="false">IF(J106="","",_xlfn.XLOOKUP(TRIM(J106),Metallic_Radius_Table!A:A,Metallic_Radius_Table!B:B))</f>
        <v>1.27</v>
      </c>
      <c r="L106" s="0" t="str">
        <f aca="false">IF(ISNUMBER(SEARCH("La",B106)),"La",
 IF(ISNUMBER(SEARCH("Nd",B106)),"Nd",
 IF(ISNUMBER(SEARCH("Eu",B106)),"Eu",
 IF(ISNUMBER(SEARCH("Gd",B106)),"Gd",""))))</f>
        <v/>
      </c>
      <c r="M106" s="0" t="str">
        <f aca="false">IF(L106="","",_xlfn.XLOOKUP(TRIM(L106),Metallic_Radius_Table!A:A,Metallic_Radius_Table!B:B))</f>
        <v/>
      </c>
      <c r="N106" s="0" t="str">
        <f aca="false">TRIM(LEFT(C106,FIND(",",C106)-1))</f>
        <v>Mn</v>
      </c>
      <c r="O106" s="3" t="n">
        <f aca="false">IF(N106="","",_xlfn.XLOOKUP(TRIM(N106),Metallic_Radius_Table!A:A,Metallic_Radius_Table!B:B))</f>
        <v>1.27</v>
      </c>
      <c r="P106" s="0" t="str">
        <f aca="false">TRIM(MID(C106,FIND(",",C106)+1,5))</f>
        <v>Ni</v>
      </c>
      <c r="Q106" s="0" t="n">
        <f aca="false">IF(P106="","",_xlfn.XLOOKUP(TRIM(P106),Metallic_Radius_Table!A:A,Metallic_Radius_Table!B:B))</f>
        <v>1.24</v>
      </c>
      <c r="R106" s="0" t="str">
        <f aca="false">IF(G106&gt;=1,   "Ferromagnetic / Ferrimagnetic",   IF(G106&gt;=0.05,      "Paramagnetic / Weakly magnetic",      "Antiferromagnetic / Diamagnetic"))</f>
        <v>Ferromagnetic / Ferrimagnetic</v>
      </c>
      <c r="U106" s="0" t="str">
        <f aca="false">IF(G106&gt;=1,
   "FM → PM (Curie-type)",
   IF(G106&lt;0.05,
      "AFM → PM (Néel-type)",
      "No long-range magnetic transition"))</f>
        <v>FM → PM (Curie-type)</v>
      </c>
    </row>
    <row r="107" customFormat="false" ht="13.8" hidden="false" customHeight="false" outlineLevel="0" collapsed="false">
      <c r="A107" s="0" t="s">
        <v>1149</v>
      </c>
      <c r="B107" s="0" t="s">
        <v>1147</v>
      </c>
      <c r="C107" s="0" t="s">
        <v>396</v>
      </c>
      <c r="D107" s="0" t="n">
        <v>-1.6138850537931</v>
      </c>
      <c r="E107" s="0" t="n">
        <v>0.022367595916658</v>
      </c>
      <c r="F107" s="0" t="n">
        <v>0</v>
      </c>
      <c r="G107" s="0" t="n">
        <v>10.0027771</v>
      </c>
      <c r="H107" s="0" t="s">
        <v>45</v>
      </c>
      <c r="I107" s="2" t="b">
        <f aca="false">TRUE()</f>
        <v>1</v>
      </c>
      <c r="J107" s="0" t="str">
        <f aca="false">IF(AND(CODE(MID(B107,2,1))&gt;=97,CODE(MID(B107,2,1))&lt;=122),LEFT(B107,2),LEFT(B107,1))</f>
        <v>Mn</v>
      </c>
      <c r="K107" s="0" t="n">
        <f aca="false">IF(J107="","",_xlfn.XLOOKUP(TRIM(J107),Metallic_Radius_Table!A:A,Metallic_Radius_Table!B:B))</f>
        <v>1.27</v>
      </c>
      <c r="L107" s="0" t="str">
        <f aca="false">IF(ISNUMBER(SEARCH("La",B107)),"La",
 IF(ISNUMBER(SEARCH("Nd",B107)),"Nd",
 IF(ISNUMBER(SEARCH("Eu",B107)),"Eu",
 IF(ISNUMBER(SEARCH("Gd",B107)),"Gd",""))))</f>
        <v/>
      </c>
      <c r="M107" s="0" t="str">
        <f aca="false">IF(L107="","",_xlfn.XLOOKUP(TRIM(L107),Metallic_Radius_Table!A:A,Metallic_Radius_Table!B:B))</f>
        <v/>
      </c>
      <c r="N107" s="0" t="str">
        <f aca="false">TRIM(LEFT(C107,FIND(",",C107)-1))</f>
        <v>Mn</v>
      </c>
      <c r="O107" s="3" t="n">
        <f aca="false">IF(N107="","",_xlfn.XLOOKUP(TRIM(N107),Metallic_Radius_Table!A:A,Metallic_Radius_Table!B:B))</f>
        <v>1.27</v>
      </c>
      <c r="P107" s="0" t="str">
        <f aca="false">TRIM(MID(C107,FIND(",",C107)+1,5))</f>
        <v>Ni</v>
      </c>
      <c r="Q107" s="0" t="n">
        <f aca="false">IF(P107="","",_xlfn.XLOOKUP(TRIM(P107),Metallic_Radius_Table!A:A,Metallic_Radius_Table!B:B))</f>
        <v>1.24</v>
      </c>
      <c r="R107" s="0" t="str">
        <f aca="false">IF(G107&gt;=1,   "Ferromagnetic / Ferrimagnetic",   IF(G107&gt;=0.05,      "Paramagnetic / Weakly magnetic",      "Antiferromagnetic / Diamagnetic"))</f>
        <v>Ferromagnetic / Ferrimagnetic</v>
      </c>
      <c r="U107" s="0" t="str">
        <f aca="false">IF(G107&gt;=1,
   "FM → PM (Curie-type)",
   IF(G107&lt;0.05,
      "AFM → PM (Néel-type)",
      "No long-range magnetic transition"))</f>
        <v>FM → PM (Curie-type)</v>
      </c>
    </row>
    <row r="108" customFormat="false" ht="13.8" hidden="false" customHeight="false" outlineLevel="0" collapsed="false">
      <c r="A108" s="0" t="s">
        <v>1150</v>
      </c>
      <c r="B108" s="0" t="s">
        <v>1151</v>
      </c>
      <c r="C108" s="0" t="s">
        <v>441</v>
      </c>
      <c r="D108" s="0" t="n">
        <v>-3.39788731238942</v>
      </c>
      <c r="E108" s="0" t="n">
        <v>0.010271386500004</v>
      </c>
      <c r="F108" s="0" t="n">
        <v>2.3925</v>
      </c>
      <c r="G108" s="0" t="n">
        <v>0.0001239</v>
      </c>
      <c r="H108" s="0" t="s">
        <v>58</v>
      </c>
      <c r="I108" s="2" t="b">
        <f aca="false">TRUE()</f>
        <v>1</v>
      </c>
      <c r="J108" s="0" t="str">
        <f aca="false">IF(AND(CODE(MID(B108,2,1))&gt;=97,CODE(MID(B108,2,1))&lt;=122),LEFT(B108,2),LEFT(B108,1))</f>
        <v>Na</v>
      </c>
      <c r="K108" s="0" t="n">
        <f aca="false">IF(J108="","",_xlfn.XLOOKUP(TRIM(J108),Metallic_Radius_Table!A:A,Metallic_Radius_Table!B:B))</f>
        <v>1.86</v>
      </c>
      <c r="L108" s="0" t="str">
        <f aca="false">IF(ISNUMBER(SEARCH("La",B108)),"La",
 IF(ISNUMBER(SEARCH("Nd",B108)),"Nd",
 IF(ISNUMBER(SEARCH("Eu",B108)),"Eu",
 IF(ISNUMBER(SEARCH("Gd",B108)),"Gd",""))))</f>
        <v/>
      </c>
      <c r="M108" s="0" t="str">
        <f aca="false">IF(L108="","",_xlfn.XLOOKUP(TRIM(L108),Metallic_Radius_Table!A:A,Metallic_Radius_Table!B:B))</f>
        <v/>
      </c>
      <c r="N108" s="0" t="str">
        <f aca="false">TRIM(LEFT(C108,FIND(",",C108)-1))</f>
        <v>Ta</v>
      </c>
      <c r="O108" s="3" t="n">
        <f aca="false">IF(N108="","",_xlfn.XLOOKUP(TRIM(N108),Metallic_Radius_Table!A:A,Metallic_Radius_Table!B:B))</f>
        <v>1.46</v>
      </c>
      <c r="P108" s="0" t="str">
        <f aca="false">TRIM(MID(C108,FIND(",",C108)+1,5))</f>
        <v>Ti</v>
      </c>
      <c r="Q108" s="0" t="n">
        <f aca="false">IF(P108="","",_xlfn.XLOOKUP(TRIM(P108),Metallic_Radius_Table!A:A,Metallic_Radius_Table!B:B))</f>
        <v>1.47</v>
      </c>
      <c r="R108" s="0" t="str">
        <f aca="false">IF(G108&gt;=1,   "Ferromagnetic / Ferrimagnetic",   IF(G108&gt;=0.05,      "Paramagnetic / Weakly magnetic",      "Antiferromagnetic / Diamagnetic"))</f>
        <v>Antiferromagnetic / Diamagnetic</v>
      </c>
      <c r="U108" s="0" t="str">
        <f aca="false">IF(G108&gt;=1,
   "FM → PM (Curie-type)",
   IF(G108&lt;0.05,
      "AFM → PM (Néel-type)",
      "No long-range magnetic transition"))</f>
        <v>AFM → PM (Néel-type)</v>
      </c>
    </row>
    <row r="109" customFormat="false" ht="13.8" hidden="false" customHeight="false" outlineLevel="0" collapsed="false">
      <c r="A109" s="0" t="s">
        <v>1152</v>
      </c>
      <c r="B109" s="0" t="s">
        <v>1153</v>
      </c>
      <c r="C109" s="0" t="s">
        <v>185</v>
      </c>
      <c r="D109" s="0" t="n">
        <v>-3.27674236874942</v>
      </c>
      <c r="E109" s="0" t="n">
        <v>0.065965470849999</v>
      </c>
      <c r="F109" s="0" t="n">
        <v>1.18049999999999</v>
      </c>
      <c r="G109" s="0" t="n">
        <v>0.0001524</v>
      </c>
      <c r="H109" s="0" t="s">
        <v>968</v>
      </c>
      <c r="I109" s="2" t="b">
        <f aca="false">TRUE()</f>
        <v>1</v>
      </c>
      <c r="J109" s="0" t="str">
        <f aca="false">IF(AND(CODE(MID(B109,2,1))&gt;=97,CODE(MID(B109,2,1))&lt;=122),LEFT(B109,2),LEFT(B109,1))</f>
        <v>Na</v>
      </c>
      <c r="K109" s="0" t="n">
        <f aca="false">IF(J109="","",_xlfn.XLOOKUP(TRIM(J109),Metallic_Radius_Table!A:A,Metallic_Radius_Table!B:B))</f>
        <v>1.86</v>
      </c>
      <c r="L109" s="0" t="str">
        <f aca="false">IF(ISNUMBER(SEARCH("La",B109)),"La",
 IF(ISNUMBER(SEARCH("Nd",B109)),"Nd",
 IF(ISNUMBER(SEARCH("Eu",B109)),"Eu",
 IF(ISNUMBER(SEARCH("Gd",B109)),"Gd",""))))</f>
        <v/>
      </c>
      <c r="M109" s="0" t="str">
        <f aca="false">IF(L109="","",_xlfn.XLOOKUP(TRIM(L109),Metallic_Radius_Table!A:A,Metallic_Radius_Table!B:B))</f>
        <v/>
      </c>
      <c r="N109" s="0" t="str">
        <f aca="false">TRIM(LEFT(C109,FIND(",",C109)-1))</f>
        <v>Nb</v>
      </c>
      <c r="O109" s="3" t="n">
        <f aca="false">IF(N109="","",_xlfn.XLOOKUP(TRIM(N109),Metallic_Radius_Table!A:A,Metallic_Radius_Table!B:B))</f>
        <v>1.46</v>
      </c>
      <c r="P109" s="0" t="str">
        <f aca="false">TRIM(MID(C109,FIND(",",C109)+1,5))</f>
        <v>Ti</v>
      </c>
      <c r="Q109" s="0" t="n">
        <f aca="false">IF(P109="","",_xlfn.XLOOKUP(TRIM(P109),Metallic_Radius_Table!A:A,Metallic_Radius_Table!B:B))</f>
        <v>1.47</v>
      </c>
      <c r="R109" s="0" t="str">
        <f aca="false">IF(G109&gt;=1,   "Ferromagnetic / Ferrimagnetic",   IF(G109&gt;=0.05,      "Paramagnetic / Weakly magnetic",      "Antiferromagnetic / Diamagnetic"))</f>
        <v>Antiferromagnetic / Diamagnetic</v>
      </c>
      <c r="U109" s="0" t="str">
        <f aca="false">IF(G109&gt;=1,
   "FM → PM (Curie-type)",
   IF(G109&lt;0.05,
      "AFM → PM (Néel-type)",
      "No long-range magnetic transition"))</f>
        <v>AFM → PM (Néel-type)</v>
      </c>
    </row>
    <row r="110" customFormat="false" ht="13.8" hidden="false" customHeight="false" outlineLevel="0" collapsed="false">
      <c r="A110" s="0" t="s">
        <v>1154</v>
      </c>
      <c r="B110" s="0" t="s">
        <v>1155</v>
      </c>
      <c r="C110" s="0" t="s">
        <v>202</v>
      </c>
      <c r="D110" s="0" t="n">
        <v>-3.37148545386323</v>
      </c>
      <c r="E110" s="0" t="n">
        <v>0.071435966076874</v>
      </c>
      <c r="F110" s="0" t="n">
        <v>1.2517</v>
      </c>
      <c r="G110" s="0" t="n">
        <v>12.002121</v>
      </c>
      <c r="H110" s="0" t="s">
        <v>58</v>
      </c>
      <c r="I110" s="2" t="b">
        <f aca="false">TRUE()</f>
        <v>1</v>
      </c>
      <c r="J110" s="0" t="str">
        <f aca="false">IF(AND(CODE(MID(B110,2,1))&gt;=97,CODE(MID(B110,2,1))&lt;=122),LEFT(B110,2),LEFT(B110,1))</f>
        <v>Na</v>
      </c>
      <c r="K110" s="0" t="n">
        <f aca="false">IF(J110="","",_xlfn.XLOOKUP(TRIM(J110),Metallic_Radius_Table!A:A,Metallic_Radius_Table!B:B))</f>
        <v>1.86</v>
      </c>
      <c r="L110" s="0" t="str">
        <f aca="false">IF(ISNUMBER(SEARCH("La",B110)),"La",
 IF(ISNUMBER(SEARCH("Nd",B110)),"Nd",
 IF(ISNUMBER(SEARCH("Eu",B110)),"Eu",
 IF(ISNUMBER(SEARCH("Gd",B110)),"Gd",""))))</f>
        <v>La</v>
      </c>
      <c r="M110" s="0" t="n">
        <f aca="false">IF(L110="","",_xlfn.XLOOKUP(TRIM(L110),Metallic_Radius_Table!A:A,Metallic_Radius_Table!B:B))</f>
        <v>1.87</v>
      </c>
      <c r="N110" s="0" t="str">
        <f aca="false">TRIM(LEFT(C110,FIND(",",C110)-1))</f>
        <v>Mn</v>
      </c>
      <c r="O110" s="3" t="n">
        <f aca="false">IF(N110="","",_xlfn.XLOOKUP(TRIM(N110),Metallic_Radius_Table!A:A,Metallic_Radius_Table!B:B))</f>
        <v>1.27</v>
      </c>
      <c r="P110" s="0" t="str">
        <f aca="false">TRIM(MID(C110,FIND(",",C110)+1,5))</f>
        <v>Ti</v>
      </c>
      <c r="Q110" s="0" t="n">
        <f aca="false">IF(P110="","",_xlfn.XLOOKUP(TRIM(P110),Metallic_Radius_Table!A:A,Metallic_Radius_Table!B:B))</f>
        <v>1.47</v>
      </c>
      <c r="R110" s="0" t="str">
        <f aca="false">IF(G110&gt;=1,   "Ferromagnetic / Ferrimagnetic",   IF(G110&gt;=0.05,      "Paramagnetic / Weakly magnetic",      "Antiferromagnetic / Diamagnetic"))</f>
        <v>Ferromagnetic / Ferrimagnetic</v>
      </c>
      <c r="U110" s="0" t="str">
        <f aca="false">IF(G110&gt;=1,
   "FM → PM (Curie-type)",
   IF(G110&lt;0.05,
      "AFM → PM (Néel-type)",
      "No long-range magnetic transition"))</f>
        <v>FM → PM (Curie-type)</v>
      </c>
    </row>
    <row r="111" customFormat="false" ht="13.8" hidden="false" customHeight="false" outlineLevel="0" collapsed="false">
      <c r="A111" s="0" t="s">
        <v>1156</v>
      </c>
      <c r="B111" s="0" t="s">
        <v>1157</v>
      </c>
      <c r="C111" s="0" t="s">
        <v>202</v>
      </c>
      <c r="D111" s="0" t="n">
        <v>-3.45866167082219</v>
      </c>
      <c r="E111" s="0" t="n">
        <v>0.052879637855944</v>
      </c>
      <c r="F111" s="0" t="n">
        <v>0.292499999999999</v>
      </c>
      <c r="G111" s="0" t="n">
        <v>9.0018896</v>
      </c>
      <c r="H111" s="0" t="s">
        <v>58</v>
      </c>
      <c r="I111" s="2" t="b">
        <f aca="false">TRUE()</f>
        <v>1</v>
      </c>
      <c r="J111" s="0" t="str">
        <f aca="false">IF(AND(CODE(MID(B111,2,1))&gt;=97,CODE(MID(B111,2,1))&lt;=122),LEFT(B111,2),LEFT(B111,1))</f>
        <v>Na</v>
      </c>
      <c r="K111" s="0" t="n">
        <f aca="false">IF(J111="","",_xlfn.XLOOKUP(TRIM(J111),Metallic_Radius_Table!A:A,Metallic_Radius_Table!B:B))</f>
        <v>1.86</v>
      </c>
      <c r="L111" s="0" t="str">
        <f aca="false">IF(ISNUMBER(SEARCH("La",B111)),"La",
 IF(ISNUMBER(SEARCH("Nd",B111)),"Nd",
 IF(ISNUMBER(SEARCH("Eu",B111)),"Eu",
 IF(ISNUMBER(SEARCH("Gd",B111)),"Gd",""))))</f>
        <v>La</v>
      </c>
      <c r="M111" s="0" t="n">
        <f aca="false">IF(L111="","",_xlfn.XLOOKUP(TRIM(L111),Metallic_Radius_Table!A:A,Metallic_Radius_Table!B:B))</f>
        <v>1.87</v>
      </c>
      <c r="N111" s="0" t="str">
        <f aca="false">TRIM(LEFT(C111,FIND(",",C111)-1))</f>
        <v>Mn</v>
      </c>
      <c r="O111" s="3" t="n">
        <f aca="false">IF(N111="","",_xlfn.XLOOKUP(TRIM(N111),Metallic_Radius_Table!A:A,Metallic_Radius_Table!B:B))</f>
        <v>1.27</v>
      </c>
      <c r="P111" s="0" t="str">
        <f aca="false">TRIM(MID(C111,FIND(",",C111)+1,5))</f>
        <v>Ti</v>
      </c>
      <c r="Q111" s="0" t="n">
        <f aca="false">IF(P111="","",_xlfn.XLOOKUP(TRIM(P111),Metallic_Radius_Table!A:A,Metallic_Radius_Table!B:B))</f>
        <v>1.47</v>
      </c>
      <c r="R111" s="0" t="str">
        <f aca="false">IF(G111&gt;=1,   "Ferromagnetic / Ferrimagnetic",   IF(G111&gt;=0.05,      "Paramagnetic / Weakly magnetic",      "Antiferromagnetic / Diamagnetic"))</f>
        <v>Ferromagnetic / Ferrimagnetic</v>
      </c>
      <c r="U111" s="0" t="str">
        <f aca="false">IF(G111&gt;=1,
   "FM → PM (Curie-type)",
   IF(G111&lt;0.05,
      "AFM → PM (Néel-type)",
      "No long-range magnetic transition"))</f>
        <v>FM → PM (Curie-type)</v>
      </c>
    </row>
    <row r="112" customFormat="false" ht="13.8" hidden="false" customHeight="false" outlineLevel="0" collapsed="false">
      <c r="A112" s="0" t="s">
        <v>1158</v>
      </c>
      <c r="B112" s="0" t="s">
        <v>1159</v>
      </c>
      <c r="C112" s="0" t="s">
        <v>185</v>
      </c>
      <c r="D112" s="0" t="n">
        <v>-3.28653027047126</v>
      </c>
      <c r="E112" s="0" t="n">
        <v>0.040694890989994</v>
      </c>
      <c r="F112" s="0" t="n">
        <v>0</v>
      </c>
      <c r="G112" s="0" t="n">
        <v>1.2095544</v>
      </c>
      <c r="H112" s="0" t="s">
        <v>193</v>
      </c>
      <c r="I112" s="2" t="b">
        <f aca="false">TRUE()</f>
        <v>1</v>
      </c>
      <c r="J112" s="0" t="str">
        <f aca="false">IF(AND(CODE(MID(B112,2,1))&gt;=97,CODE(MID(B112,2,1))&lt;=122),LEFT(B112,2),LEFT(B112,1))</f>
        <v>Na</v>
      </c>
      <c r="K112" s="0" t="n">
        <f aca="false">IF(J112="","",_xlfn.XLOOKUP(TRIM(J112),Metallic_Radius_Table!A:A,Metallic_Radius_Table!B:B))</f>
        <v>1.86</v>
      </c>
      <c r="L112" s="0" t="str">
        <f aca="false">IF(ISNUMBER(SEARCH("La",B112)),"La",
 IF(ISNUMBER(SEARCH("Nd",B112)),"Nd",
 IF(ISNUMBER(SEARCH("Eu",B112)),"Eu",
 IF(ISNUMBER(SEARCH("Gd",B112)),"Gd",""))))</f>
        <v/>
      </c>
      <c r="M112" s="0" t="str">
        <f aca="false">IF(L112="","",_xlfn.XLOOKUP(TRIM(L112),Metallic_Radius_Table!A:A,Metallic_Radius_Table!B:B))</f>
        <v/>
      </c>
      <c r="N112" s="0" t="str">
        <f aca="false">TRIM(LEFT(C112,FIND(",",C112)-1))</f>
        <v>Nb</v>
      </c>
      <c r="O112" s="3" t="n">
        <f aca="false">IF(N112="","",_xlfn.XLOOKUP(TRIM(N112),Metallic_Radius_Table!A:A,Metallic_Radius_Table!B:B))</f>
        <v>1.46</v>
      </c>
      <c r="P112" s="0" t="str">
        <f aca="false">TRIM(MID(C112,FIND(",",C112)+1,5))</f>
        <v>Ti</v>
      </c>
      <c r="Q112" s="0" t="n">
        <f aca="false">IF(P112="","",_xlfn.XLOOKUP(TRIM(P112),Metallic_Radius_Table!A:A,Metallic_Radius_Table!B:B))</f>
        <v>1.47</v>
      </c>
      <c r="R112" s="0" t="str">
        <f aca="false">IF(G112&gt;=1,   "Ferromagnetic / Ferrimagnetic",   IF(G112&gt;=0.05,      "Paramagnetic / Weakly magnetic",      "Antiferromagnetic / Diamagnetic"))</f>
        <v>Ferromagnetic / Ferrimagnetic</v>
      </c>
      <c r="U112" s="0" t="str">
        <f aca="false">IF(G112&gt;=1,
   "FM → PM (Curie-type)",
   IF(G112&lt;0.05,
      "AFM → PM (Néel-type)",
      "No long-range magnetic transition"))</f>
        <v>FM → PM (Curie-type)</v>
      </c>
    </row>
    <row r="113" customFormat="false" ht="13.8" hidden="false" customHeight="false" outlineLevel="0" collapsed="false">
      <c r="A113" s="0" t="s">
        <v>1160</v>
      </c>
      <c r="B113" s="0" t="s">
        <v>1161</v>
      </c>
      <c r="C113" s="0" t="s">
        <v>441</v>
      </c>
      <c r="D113" s="0" t="n">
        <v>-3.01823157753494</v>
      </c>
      <c r="E113" s="0" t="n">
        <v>0.094070204800003</v>
      </c>
      <c r="F113" s="0" t="n">
        <v>2.53869999999999</v>
      </c>
      <c r="G113" s="0" t="n">
        <v>0.0003012</v>
      </c>
      <c r="H113" s="0" t="s">
        <v>968</v>
      </c>
      <c r="I113" s="2" t="b">
        <f aca="false">TRUE()</f>
        <v>1</v>
      </c>
      <c r="J113" s="0" t="str">
        <f aca="false">IF(AND(CODE(MID(B113,2,1))&gt;=97,CODE(MID(B113,2,1))&lt;=122),LEFT(B113,2),LEFT(B113,1))</f>
        <v>Na</v>
      </c>
      <c r="K113" s="0" t="n">
        <f aca="false">IF(J113="","",_xlfn.XLOOKUP(TRIM(J113),Metallic_Radius_Table!A:A,Metallic_Radius_Table!B:B))</f>
        <v>1.86</v>
      </c>
      <c r="L113" s="0" t="str">
        <f aca="false">IF(ISNUMBER(SEARCH("La",B113)),"La",
 IF(ISNUMBER(SEARCH("Nd",B113)),"Nd",
 IF(ISNUMBER(SEARCH("Eu",B113)),"Eu",
 IF(ISNUMBER(SEARCH("Gd",B113)),"Gd",""))))</f>
        <v/>
      </c>
      <c r="M113" s="0" t="str">
        <f aca="false">IF(L113="","",_xlfn.XLOOKUP(TRIM(L113),Metallic_Radius_Table!A:A,Metallic_Radius_Table!B:B))</f>
        <v/>
      </c>
      <c r="N113" s="0" t="str">
        <f aca="false">TRIM(LEFT(C113,FIND(",",C113)-1))</f>
        <v>Ta</v>
      </c>
      <c r="O113" s="3" t="n">
        <f aca="false">IF(N113="","",_xlfn.XLOOKUP(TRIM(N113),Metallic_Radius_Table!A:A,Metallic_Radius_Table!B:B))</f>
        <v>1.46</v>
      </c>
      <c r="P113" s="0" t="str">
        <f aca="false">TRIM(MID(C113,FIND(",",C113)+1,5))</f>
        <v>Ti</v>
      </c>
      <c r="Q113" s="0" t="n">
        <f aca="false">IF(P113="","",_xlfn.XLOOKUP(TRIM(P113),Metallic_Radius_Table!A:A,Metallic_Radius_Table!B:B))</f>
        <v>1.47</v>
      </c>
      <c r="R113" s="0" t="str">
        <f aca="false">IF(G113&gt;=1,   "Ferromagnetic / Ferrimagnetic",   IF(G113&gt;=0.05,      "Paramagnetic / Weakly magnetic",      "Antiferromagnetic / Diamagnetic"))</f>
        <v>Antiferromagnetic / Diamagnetic</v>
      </c>
      <c r="U113" s="0" t="str">
        <f aca="false">IF(G113&gt;=1,
   "FM → PM (Curie-type)",
   IF(G113&lt;0.05,
      "AFM → PM (Néel-type)",
      "No long-range magnetic transition"))</f>
        <v>AFM → PM (Néel-type)</v>
      </c>
    </row>
    <row r="114" customFormat="false" ht="13.8" hidden="false" customHeight="false" outlineLevel="0" collapsed="false">
      <c r="A114" s="0" t="s">
        <v>1162</v>
      </c>
      <c r="B114" s="0" t="s">
        <v>1163</v>
      </c>
      <c r="C114" s="0" t="s">
        <v>441</v>
      </c>
      <c r="D114" s="0" t="n">
        <v>-3.50495688867425</v>
      </c>
      <c r="E114" s="0" t="n">
        <v>0.001820782400001</v>
      </c>
      <c r="F114" s="0" t="n">
        <v>2.44069999999999</v>
      </c>
      <c r="G114" s="0" t="n">
        <v>0.0001338</v>
      </c>
      <c r="H114" s="0" t="s">
        <v>968</v>
      </c>
      <c r="I114" s="2" t="b">
        <f aca="false">TRUE()</f>
        <v>1</v>
      </c>
      <c r="J114" s="0" t="str">
        <f aca="false">IF(AND(CODE(MID(B114,2,1))&gt;=97,CODE(MID(B114,2,1))&lt;=122),LEFT(B114,2),LEFT(B114,1))</f>
        <v>Na</v>
      </c>
      <c r="K114" s="0" t="n">
        <f aca="false">IF(J114="","",_xlfn.XLOOKUP(TRIM(J114),Metallic_Radius_Table!A:A,Metallic_Radius_Table!B:B))</f>
        <v>1.86</v>
      </c>
      <c r="L114" s="0" t="str">
        <f aca="false">IF(ISNUMBER(SEARCH("La",B114)),"La",
 IF(ISNUMBER(SEARCH("Nd",B114)),"Nd",
 IF(ISNUMBER(SEARCH("Eu",B114)),"Eu",
 IF(ISNUMBER(SEARCH("Gd",B114)),"Gd",""))))</f>
        <v/>
      </c>
      <c r="M114" s="0" t="str">
        <f aca="false">IF(L114="","",_xlfn.XLOOKUP(TRIM(L114),Metallic_Radius_Table!A:A,Metallic_Radius_Table!B:B))</f>
        <v/>
      </c>
      <c r="N114" s="0" t="str">
        <f aca="false">TRIM(LEFT(C114,FIND(",",C114)-1))</f>
        <v>Ta</v>
      </c>
      <c r="O114" s="3" t="n">
        <f aca="false">IF(N114="","",_xlfn.XLOOKUP(TRIM(N114),Metallic_Radius_Table!A:A,Metallic_Radius_Table!B:B))</f>
        <v>1.46</v>
      </c>
      <c r="P114" s="0" t="str">
        <f aca="false">TRIM(MID(C114,FIND(",",C114)+1,5))</f>
        <v>Ti</v>
      </c>
      <c r="Q114" s="0" t="n">
        <f aca="false">IF(P114="","",_xlfn.XLOOKUP(TRIM(P114),Metallic_Radius_Table!A:A,Metallic_Radius_Table!B:B))</f>
        <v>1.47</v>
      </c>
      <c r="R114" s="0" t="str">
        <f aca="false">IF(G114&gt;=1,   "Ferromagnetic / Ferrimagnetic",   IF(G114&gt;=0.05,      "Paramagnetic / Weakly magnetic",      "Antiferromagnetic / Diamagnetic"))</f>
        <v>Antiferromagnetic / Diamagnetic</v>
      </c>
      <c r="U114" s="0" t="str">
        <f aca="false">IF(G114&gt;=1,
   "FM → PM (Curie-type)",
   IF(G114&lt;0.05,
      "AFM → PM (Néel-type)",
      "No long-range magnetic transition"))</f>
        <v>AFM → PM (Néel-type)</v>
      </c>
    </row>
    <row r="115" customFormat="false" ht="13.8" hidden="false" customHeight="false" outlineLevel="0" collapsed="false">
      <c r="A115" s="0" t="s">
        <v>1164</v>
      </c>
      <c r="B115" s="0" t="s">
        <v>1165</v>
      </c>
      <c r="C115" s="0" t="s">
        <v>89</v>
      </c>
      <c r="D115" s="0" t="n">
        <v>-2.212555495</v>
      </c>
      <c r="E115" s="0" t="n">
        <v>0.000338195803593</v>
      </c>
      <c r="F115" s="0" t="n">
        <v>2.3257</v>
      </c>
      <c r="G115" s="0" t="n">
        <v>5.0070387</v>
      </c>
      <c r="H115" s="0" t="s">
        <v>58</v>
      </c>
      <c r="I115" s="2" t="b">
        <f aca="false">TRUE()</f>
        <v>1</v>
      </c>
      <c r="J115" s="0" t="str">
        <f aca="false">IF(AND(CODE(MID(B115,2,1))&gt;=97,CODE(MID(B115,2,1))&lt;=122),LEFT(B115,2),LEFT(B115,1))</f>
        <v>Nb</v>
      </c>
      <c r="K115" s="0" t="n">
        <f aca="false">IF(J115="","",_xlfn.XLOOKUP(TRIM(J115),Metallic_Radius_Table!A:A,Metallic_Radius_Table!B:B))</f>
        <v>1.46</v>
      </c>
      <c r="L115" s="0" t="str">
        <f aca="false">IF(ISNUMBER(SEARCH("La",B115)),"La",
 IF(ISNUMBER(SEARCH("Nd",B115)),"Nd",
 IF(ISNUMBER(SEARCH("Eu",B115)),"Eu",
 IF(ISNUMBER(SEARCH("Gd",B115)),"Gd",""))))</f>
        <v/>
      </c>
      <c r="M115" s="0" t="str">
        <f aca="false">IF(L115="","",_xlfn.XLOOKUP(TRIM(L115),Metallic_Radius_Table!A:A,Metallic_Radius_Table!B:B))</f>
        <v/>
      </c>
      <c r="N115" s="0" t="str">
        <f aca="false">TRIM(LEFT(C115,FIND(",",C115)-1))</f>
        <v>Fe</v>
      </c>
      <c r="O115" s="3" t="n">
        <f aca="false">IF(N115="","",_xlfn.XLOOKUP(TRIM(N115),Metallic_Radius_Table!A:A,Metallic_Radius_Table!B:B))</f>
        <v>1.26</v>
      </c>
      <c r="P115" s="0" t="str">
        <f aca="false">TRIM(MID(C115,FIND(",",C115)+1,5))</f>
        <v>Nb</v>
      </c>
      <c r="Q115" s="0" t="n">
        <f aca="false">IF(P115="","",_xlfn.XLOOKUP(TRIM(P115),Metallic_Radius_Table!A:A,Metallic_Radius_Table!B:B))</f>
        <v>1.46</v>
      </c>
      <c r="R115" s="0" t="str">
        <f aca="false">IF(G115&gt;=1,   "Ferromagnetic / Ferrimagnetic",   IF(G115&gt;=0.05,      "Paramagnetic / Weakly magnetic",      "Antiferromagnetic / Diamagnetic"))</f>
        <v>Ferromagnetic / Ferrimagnetic</v>
      </c>
      <c r="U115" s="0" t="str">
        <f aca="false">IF(G115&gt;=1,
   "FM → PM (Curie-type)",
   IF(G115&lt;0.05,
      "AFM → PM (Néel-type)",
      "No long-range magnetic transition"))</f>
        <v>FM → PM (Curie-type)</v>
      </c>
    </row>
    <row r="116" customFormat="false" ht="13.8" hidden="false" customHeight="false" outlineLevel="0" collapsed="false">
      <c r="A116" s="0" t="s">
        <v>1166</v>
      </c>
      <c r="B116" s="0" t="s">
        <v>1167</v>
      </c>
      <c r="C116" s="0" t="s">
        <v>441</v>
      </c>
      <c r="D116" s="0" t="n">
        <v>-3.19876883161976</v>
      </c>
      <c r="E116" s="0" t="n">
        <v>0.012151922900001</v>
      </c>
      <c r="F116" s="0" t="n">
        <v>2.3227</v>
      </c>
      <c r="G116" s="4" t="n">
        <v>9.61E-005</v>
      </c>
      <c r="H116" s="0" t="s">
        <v>58</v>
      </c>
      <c r="I116" s="2" t="b">
        <f aca="false">TRUE()</f>
        <v>1</v>
      </c>
      <c r="J116" s="0" t="str">
        <f aca="false">IF(AND(CODE(MID(B116,2,1))&gt;=97,CODE(MID(B116,2,1))&lt;=122),LEFT(B116,2),LEFT(B116,1))</f>
        <v>Na</v>
      </c>
      <c r="K116" s="0" t="n">
        <f aca="false">IF(J116="","",_xlfn.XLOOKUP(TRIM(J116),Metallic_Radius_Table!A:A,Metallic_Radius_Table!B:B))</f>
        <v>1.86</v>
      </c>
      <c r="L116" s="0" t="str">
        <f aca="false">IF(ISNUMBER(SEARCH("La",B116)),"La",
 IF(ISNUMBER(SEARCH("Nd",B116)),"Nd",
 IF(ISNUMBER(SEARCH("Eu",B116)),"Eu",
 IF(ISNUMBER(SEARCH("Gd",B116)),"Gd",""))))</f>
        <v/>
      </c>
      <c r="M116" s="0" t="str">
        <f aca="false">IF(L116="","",_xlfn.XLOOKUP(TRIM(L116),Metallic_Radius_Table!A:A,Metallic_Radius_Table!B:B))</f>
        <v/>
      </c>
      <c r="N116" s="0" t="str">
        <f aca="false">TRIM(LEFT(C116,FIND(",",C116)-1))</f>
        <v>Ta</v>
      </c>
      <c r="O116" s="3" t="n">
        <f aca="false">IF(N116="","",_xlfn.XLOOKUP(TRIM(N116),Metallic_Radius_Table!A:A,Metallic_Radius_Table!B:B))</f>
        <v>1.46</v>
      </c>
      <c r="P116" s="0" t="str">
        <f aca="false">TRIM(MID(C116,FIND(",",C116)+1,5))</f>
        <v>Ti</v>
      </c>
      <c r="Q116" s="0" t="n">
        <f aca="false">IF(P116="","",_xlfn.XLOOKUP(TRIM(P116),Metallic_Radius_Table!A:A,Metallic_Radius_Table!B:B))</f>
        <v>1.47</v>
      </c>
      <c r="R116" s="0" t="str">
        <f aca="false">IF(G116&gt;=1,   "Ferromagnetic / Ferrimagnetic",   IF(G116&gt;=0.05,      "Paramagnetic / Weakly magnetic",      "Antiferromagnetic / Diamagnetic"))</f>
        <v>Antiferromagnetic / Diamagnetic</v>
      </c>
      <c r="U116" s="0" t="str">
        <f aca="false">IF(G116&gt;=1,
   "FM → PM (Curie-type)",
   IF(G116&lt;0.05,
      "AFM → PM (Néel-type)",
      "No long-range magnetic transition"))</f>
        <v>AFM → PM (Néel-type)</v>
      </c>
    </row>
    <row r="117" customFormat="false" ht="13.8" hidden="false" customHeight="false" outlineLevel="0" collapsed="false">
      <c r="A117" s="0" t="s">
        <v>1168</v>
      </c>
      <c r="B117" s="0" t="s">
        <v>1169</v>
      </c>
      <c r="C117" s="0" t="s">
        <v>180</v>
      </c>
      <c r="D117" s="0" t="n">
        <v>-2.33067670770833</v>
      </c>
      <c r="E117" s="0" t="n">
        <v>0.042778765989591</v>
      </c>
      <c r="F117" s="0" t="n">
        <v>1.6518</v>
      </c>
      <c r="G117" s="0" t="n">
        <v>5.0000668</v>
      </c>
      <c r="H117" s="0" t="s">
        <v>161</v>
      </c>
      <c r="I117" s="2" t="b">
        <f aca="false">TRUE()</f>
        <v>1</v>
      </c>
      <c r="J117" s="0" t="str">
        <f aca="false">IF(AND(CODE(MID(B117,2,1))&gt;=97,CODE(MID(B117,2,1))&lt;=122),LEFT(B117,2),LEFT(B117,1))</f>
        <v>Ti</v>
      </c>
      <c r="K117" s="0" t="n">
        <f aca="false">IF(J117="","",_xlfn.XLOOKUP(TRIM(J117),Metallic_Radius_Table!A:A,Metallic_Radius_Table!B:B))</f>
        <v>1.47</v>
      </c>
      <c r="L117" s="0" t="str">
        <f aca="false">IF(ISNUMBER(SEARCH("La",B117)),"La",
 IF(ISNUMBER(SEARCH("Nd",B117)),"Nd",
 IF(ISNUMBER(SEARCH("Eu",B117)),"Eu",
 IF(ISNUMBER(SEARCH("Gd",B117)),"Gd",""))))</f>
        <v/>
      </c>
      <c r="M117" s="0" t="str">
        <f aca="false">IF(L117="","",_xlfn.XLOOKUP(TRIM(L117),Metallic_Radius_Table!A:A,Metallic_Radius_Table!B:B))</f>
        <v/>
      </c>
      <c r="N117" s="0" t="str">
        <f aca="false">TRIM(LEFT(C117,FIND(",",C117)-1))</f>
        <v>Fe</v>
      </c>
      <c r="O117" s="3" t="n">
        <f aca="false">IF(N117="","",_xlfn.XLOOKUP(TRIM(N117),Metallic_Radius_Table!A:A,Metallic_Radius_Table!B:B))</f>
        <v>1.26</v>
      </c>
      <c r="P117" s="0" t="str">
        <f aca="false">TRIM(MID(C117,FIND(",",C117)+1,5))</f>
        <v>Ti</v>
      </c>
      <c r="Q117" s="0" t="n">
        <f aca="false">IF(P117="","",_xlfn.XLOOKUP(TRIM(P117),Metallic_Radius_Table!A:A,Metallic_Radius_Table!B:B))</f>
        <v>1.47</v>
      </c>
      <c r="R117" s="0" t="str">
        <f aca="false">IF(G117&gt;=1,   "Ferromagnetic / Ferrimagnetic",   IF(G117&gt;=0.05,      "Paramagnetic / Weakly magnetic",      "Antiferromagnetic / Diamagnetic"))</f>
        <v>Ferromagnetic / Ferrimagnetic</v>
      </c>
      <c r="U117" s="0" t="str">
        <f aca="false">IF(G117&gt;=1,
   "FM → PM (Curie-type)",
   IF(G117&lt;0.05,
      "AFM → PM (Néel-type)",
      "No long-range magnetic transition"))</f>
        <v>FM → PM (Curie-type)</v>
      </c>
    </row>
    <row r="118" customFormat="false" ht="13.8" hidden="false" customHeight="false" outlineLevel="0" collapsed="false">
      <c r="A118" s="0" t="s">
        <v>1170</v>
      </c>
      <c r="B118" s="0" t="s">
        <v>1169</v>
      </c>
      <c r="C118" s="0" t="s">
        <v>180</v>
      </c>
      <c r="D118" s="0" t="n">
        <v>-2.36002822666666</v>
      </c>
      <c r="E118" s="0" t="n">
        <v>0.013427247031259</v>
      </c>
      <c r="F118" s="0" t="n">
        <v>2.0168</v>
      </c>
      <c r="G118" s="0" t="n">
        <v>10.0000385</v>
      </c>
      <c r="H118" s="0" t="s">
        <v>634</v>
      </c>
      <c r="I118" s="2" t="b">
        <f aca="false">TRUE()</f>
        <v>1</v>
      </c>
      <c r="J118" s="0" t="str">
        <f aca="false">IF(AND(CODE(MID(B118,2,1))&gt;=97,CODE(MID(B118,2,1))&lt;=122),LEFT(B118,2),LEFT(B118,1))</f>
        <v>Ti</v>
      </c>
      <c r="K118" s="0" t="n">
        <f aca="false">IF(J118="","",_xlfn.XLOOKUP(TRIM(J118),Metallic_Radius_Table!A:A,Metallic_Radius_Table!B:B))</f>
        <v>1.47</v>
      </c>
      <c r="L118" s="0" t="str">
        <f aca="false">IF(ISNUMBER(SEARCH("La",B118)),"La",
 IF(ISNUMBER(SEARCH("Nd",B118)),"Nd",
 IF(ISNUMBER(SEARCH("Eu",B118)),"Eu",
 IF(ISNUMBER(SEARCH("Gd",B118)),"Gd",""))))</f>
        <v/>
      </c>
      <c r="M118" s="0" t="str">
        <f aca="false">IF(L118="","",_xlfn.XLOOKUP(TRIM(L118),Metallic_Radius_Table!A:A,Metallic_Radius_Table!B:B))</f>
        <v/>
      </c>
      <c r="N118" s="0" t="str">
        <f aca="false">TRIM(LEFT(C118,FIND(",",C118)-1))</f>
        <v>Fe</v>
      </c>
      <c r="O118" s="3" t="n">
        <f aca="false">IF(N118="","",_xlfn.XLOOKUP(TRIM(N118),Metallic_Radius_Table!A:A,Metallic_Radius_Table!B:B))</f>
        <v>1.26</v>
      </c>
      <c r="P118" s="0" t="str">
        <f aca="false">TRIM(MID(C118,FIND(",",C118)+1,5))</f>
        <v>Ti</v>
      </c>
      <c r="Q118" s="0" t="n">
        <f aca="false">IF(P118="","",_xlfn.XLOOKUP(TRIM(P118),Metallic_Radius_Table!A:A,Metallic_Radius_Table!B:B))</f>
        <v>1.47</v>
      </c>
      <c r="R118" s="0" t="str">
        <f aca="false">IF(G118&gt;=1,   "Ferromagnetic / Ferrimagnetic",   IF(G118&gt;=0.05,      "Paramagnetic / Weakly magnetic",      "Antiferromagnetic / Diamagnetic"))</f>
        <v>Ferromagnetic / Ferrimagnetic</v>
      </c>
      <c r="U118" s="0" t="str">
        <f aca="false">IF(G118&gt;=1,
   "FM → PM (Curie-type)",
   IF(G118&lt;0.05,
      "AFM → PM (Néel-type)",
      "No long-range magnetic transition"))</f>
        <v>FM → PM (Curie-type)</v>
      </c>
    </row>
    <row r="119" customFormat="false" ht="13.8" hidden="false" customHeight="false" outlineLevel="0" collapsed="false">
      <c r="A119" s="0" t="s">
        <v>1171</v>
      </c>
      <c r="B119" s="0" t="s">
        <v>1172</v>
      </c>
      <c r="C119" s="0" t="s">
        <v>180</v>
      </c>
      <c r="D119" s="0" t="n">
        <v>-2.20398059103448</v>
      </c>
      <c r="E119" s="0" t="n">
        <v>0.053095289482759</v>
      </c>
      <c r="F119" s="0" t="n">
        <v>1.577</v>
      </c>
      <c r="G119" s="0" t="n">
        <v>9.9999598</v>
      </c>
      <c r="H119" s="0" t="s">
        <v>161</v>
      </c>
      <c r="I119" s="2" t="b">
        <f aca="false">TRUE()</f>
        <v>1</v>
      </c>
      <c r="J119" s="0" t="str">
        <f aca="false">IF(AND(CODE(MID(B119,2,1))&gt;=97,CODE(MID(B119,2,1))&lt;=122),LEFT(B119,2),LEFT(B119,1))</f>
        <v>Ti</v>
      </c>
      <c r="K119" s="0" t="n">
        <f aca="false">IF(J119="","",_xlfn.XLOOKUP(TRIM(J119),Metallic_Radius_Table!A:A,Metallic_Radius_Table!B:B))</f>
        <v>1.47</v>
      </c>
      <c r="L119" s="0" t="str">
        <f aca="false">IF(ISNUMBER(SEARCH("La",B119)),"La",
 IF(ISNUMBER(SEARCH("Nd",B119)),"Nd",
 IF(ISNUMBER(SEARCH("Eu",B119)),"Eu",
 IF(ISNUMBER(SEARCH("Gd",B119)),"Gd",""))))</f>
        <v/>
      </c>
      <c r="M119" s="0" t="str">
        <f aca="false">IF(L119="","",_xlfn.XLOOKUP(TRIM(L119),Metallic_Radius_Table!A:A,Metallic_Radius_Table!B:B))</f>
        <v/>
      </c>
      <c r="N119" s="0" t="str">
        <f aca="false">TRIM(LEFT(C119,FIND(",",C119)-1))</f>
        <v>Fe</v>
      </c>
      <c r="O119" s="3" t="n">
        <f aca="false">IF(N119="","",_xlfn.XLOOKUP(TRIM(N119),Metallic_Radius_Table!A:A,Metallic_Radius_Table!B:B))</f>
        <v>1.26</v>
      </c>
      <c r="P119" s="0" t="str">
        <f aca="false">TRIM(MID(C119,FIND(",",C119)+1,5))</f>
        <v>Ti</v>
      </c>
      <c r="Q119" s="0" t="n">
        <f aca="false">IF(P119="","",_xlfn.XLOOKUP(TRIM(P119),Metallic_Radius_Table!A:A,Metallic_Radius_Table!B:B))</f>
        <v>1.47</v>
      </c>
      <c r="R119" s="0" t="str">
        <f aca="false">IF(G119&gt;=1,   "Ferromagnetic / Ferrimagnetic",   IF(G119&gt;=0.05,      "Paramagnetic / Weakly magnetic",      "Antiferromagnetic / Diamagnetic"))</f>
        <v>Ferromagnetic / Ferrimagnetic</v>
      </c>
      <c r="U119" s="0" t="str">
        <f aca="false">IF(G119&gt;=1,
   "FM → PM (Curie-type)",
   IF(G119&lt;0.05,
      "AFM → PM (Néel-type)",
      "No long-range magnetic transition"))</f>
        <v>FM → PM (Curie-type)</v>
      </c>
    </row>
    <row r="120" customFormat="false" ht="13.8" hidden="false" customHeight="false" outlineLevel="0" collapsed="false">
      <c r="A120" s="0" t="s">
        <v>1173</v>
      </c>
      <c r="B120" s="0" t="s">
        <v>1174</v>
      </c>
      <c r="C120" s="0" t="s">
        <v>180</v>
      </c>
      <c r="D120" s="0" t="n">
        <v>-2.11390234720588</v>
      </c>
      <c r="E120" s="0" t="n">
        <v>0.05748726911765</v>
      </c>
      <c r="F120" s="0" t="n">
        <v>1.64919999999999</v>
      </c>
      <c r="G120" s="0" t="n">
        <v>15.0003874</v>
      </c>
      <c r="H120" s="0" t="s">
        <v>161</v>
      </c>
      <c r="I120" s="2" t="b">
        <f aca="false">TRUE()</f>
        <v>1</v>
      </c>
      <c r="J120" s="0" t="str">
        <f aca="false">IF(AND(CODE(MID(B120,2,1))&gt;=97,CODE(MID(B120,2,1))&lt;=122),LEFT(B120,2),LEFT(B120,1))</f>
        <v>Ti</v>
      </c>
      <c r="K120" s="0" t="n">
        <f aca="false">IF(J120="","",_xlfn.XLOOKUP(TRIM(J120),Metallic_Radius_Table!A:A,Metallic_Radius_Table!B:B))</f>
        <v>1.47</v>
      </c>
      <c r="L120" s="0" t="str">
        <f aca="false">IF(ISNUMBER(SEARCH("La",B120)),"La",
 IF(ISNUMBER(SEARCH("Nd",B120)),"Nd",
 IF(ISNUMBER(SEARCH("Eu",B120)),"Eu",
 IF(ISNUMBER(SEARCH("Gd",B120)),"Gd",""))))</f>
        <v/>
      </c>
      <c r="M120" s="0" t="str">
        <f aca="false">IF(L120="","",_xlfn.XLOOKUP(TRIM(L120),Metallic_Radius_Table!A:A,Metallic_Radius_Table!B:B))</f>
        <v/>
      </c>
      <c r="N120" s="0" t="str">
        <f aca="false">TRIM(LEFT(C120,FIND(",",C120)-1))</f>
        <v>Fe</v>
      </c>
      <c r="O120" s="3" t="n">
        <f aca="false">IF(N120="","",_xlfn.XLOOKUP(TRIM(N120),Metallic_Radius_Table!A:A,Metallic_Radius_Table!B:B))</f>
        <v>1.26</v>
      </c>
      <c r="P120" s="0" t="str">
        <f aca="false">TRIM(MID(C120,FIND(",",C120)+1,5))</f>
        <v>Ti</v>
      </c>
      <c r="Q120" s="0" t="n">
        <f aca="false">IF(P120="","",_xlfn.XLOOKUP(TRIM(P120),Metallic_Radius_Table!A:A,Metallic_Radius_Table!B:B))</f>
        <v>1.47</v>
      </c>
      <c r="R120" s="0" t="str">
        <f aca="false">IF(G120&gt;=1,   "Ferromagnetic / Ferrimagnetic",   IF(G120&gt;=0.05,      "Paramagnetic / Weakly magnetic",      "Antiferromagnetic / Diamagnetic"))</f>
        <v>Ferromagnetic / Ferrimagnetic</v>
      </c>
      <c r="U120" s="0" t="str">
        <f aca="false">IF(G120&gt;=1,
   "FM → PM (Curie-type)",
   IF(G120&lt;0.05,
      "AFM → PM (Néel-type)",
      "No long-range magnetic transition"))</f>
        <v>FM → PM (Curie-type)</v>
      </c>
    </row>
    <row r="121" customFormat="false" ht="13.8" hidden="false" customHeight="false" outlineLevel="0" collapsed="false">
      <c r="A121" s="0" t="s">
        <v>1175</v>
      </c>
      <c r="B121" s="0" t="s">
        <v>1176</v>
      </c>
      <c r="C121" s="0" t="s">
        <v>180</v>
      </c>
      <c r="D121" s="0" t="n">
        <v>-2.37670706770115</v>
      </c>
      <c r="E121" s="0" t="n">
        <v>0.056682854137932</v>
      </c>
      <c r="F121" s="0" t="n">
        <v>0.469299999999999</v>
      </c>
      <c r="G121" s="0" t="n">
        <v>4.0003097</v>
      </c>
      <c r="H121" s="0" t="s">
        <v>1177</v>
      </c>
      <c r="I121" s="2" t="b">
        <f aca="false">TRUE()</f>
        <v>1</v>
      </c>
      <c r="J121" s="0" t="str">
        <f aca="false">IF(AND(CODE(MID(B121,2,1))&gt;=97,CODE(MID(B121,2,1))&lt;=122),LEFT(B121,2),LEFT(B121,1))</f>
        <v>Ti</v>
      </c>
      <c r="K121" s="0" t="n">
        <f aca="false">IF(J121="","",_xlfn.XLOOKUP(TRIM(J121),Metallic_Radius_Table!A:A,Metallic_Radius_Table!B:B))</f>
        <v>1.47</v>
      </c>
      <c r="L121" s="0" t="str">
        <f aca="false">IF(ISNUMBER(SEARCH("La",B121)),"La",
 IF(ISNUMBER(SEARCH("Nd",B121)),"Nd",
 IF(ISNUMBER(SEARCH("Eu",B121)),"Eu",
 IF(ISNUMBER(SEARCH("Gd",B121)),"Gd",""))))</f>
        <v/>
      </c>
      <c r="M121" s="0" t="str">
        <f aca="false">IF(L121="","",_xlfn.XLOOKUP(TRIM(L121),Metallic_Radius_Table!A:A,Metallic_Radius_Table!B:B))</f>
        <v/>
      </c>
      <c r="N121" s="0" t="str">
        <f aca="false">TRIM(LEFT(C121,FIND(",",C121)-1))</f>
        <v>Fe</v>
      </c>
      <c r="O121" s="3" t="n">
        <f aca="false">IF(N121="","",_xlfn.XLOOKUP(TRIM(N121),Metallic_Radius_Table!A:A,Metallic_Radius_Table!B:B))</f>
        <v>1.26</v>
      </c>
      <c r="P121" s="0" t="str">
        <f aca="false">TRIM(MID(C121,FIND(",",C121)+1,5))</f>
        <v>Ti</v>
      </c>
      <c r="Q121" s="0" t="n">
        <f aca="false">IF(P121="","",_xlfn.XLOOKUP(TRIM(P121),Metallic_Radius_Table!A:A,Metallic_Radius_Table!B:B))</f>
        <v>1.47</v>
      </c>
      <c r="R121" s="0" t="str">
        <f aca="false">IF(G121&gt;=1,   "Ferromagnetic / Ferrimagnetic",   IF(G121&gt;=0.05,      "Paramagnetic / Weakly magnetic",      "Antiferromagnetic / Diamagnetic"))</f>
        <v>Ferromagnetic / Ferrimagnetic</v>
      </c>
      <c r="U121" s="0" t="str">
        <f aca="false">IF(G121&gt;=1,
   "FM → PM (Curie-type)",
   IF(G121&lt;0.05,
      "AFM → PM (Néel-type)",
      "No long-range magnetic transition"))</f>
        <v>FM → PM (Curie-type)</v>
      </c>
    </row>
    <row r="122" customFormat="false" ht="13.8" hidden="false" customHeight="false" outlineLevel="0" collapsed="false">
      <c r="A122" s="0" t="s">
        <v>1178</v>
      </c>
      <c r="B122" s="0" t="s">
        <v>1179</v>
      </c>
      <c r="C122" s="0" t="s">
        <v>185</v>
      </c>
      <c r="D122" s="0" t="n">
        <v>-2.4731272910101</v>
      </c>
      <c r="E122" s="0" t="n">
        <v>0.029014842575758</v>
      </c>
      <c r="F122" s="0" t="n">
        <v>2.17889999999999</v>
      </c>
      <c r="G122" s="0" t="n">
        <v>0.001450299999999</v>
      </c>
      <c r="H122" s="0" t="s">
        <v>45</v>
      </c>
      <c r="I122" s="2" t="b">
        <f aca="false">TRUE()</f>
        <v>1</v>
      </c>
      <c r="J122" s="0" t="str">
        <f aca="false">IF(AND(CODE(MID(B122,2,1))&gt;=97,CODE(MID(B122,2,1))&lt;=122),LEFT(B122,2),LEFT(B122,1))</f>
        <v>Ti</v>
      </c>
      <c r="K122" s="0" t="n">
        <f aca="false">IF(J122="","",_xlfn.XLOOKUP(TRIM(J122),Metallic_Radius_Table!A:A,Metallic_Radius_Table!B:B))</f>
        <v>1.47</v>
      </c>
      <c r="L122" s="0" t="str">
        <f aca="false">IF(ISNUMBER(SEARCH("La",B122)),"La",
 IF(ISNUMBER(SEARCH("Nd",B122)),"Nd",
 IF(ISNUMBER(SEARCH("Eu",B122)),"Eu",
 IF(ISNUMBER(SEARCH("Gd",B122)),"Gd",""))))</f>
        <v/>
      </c>
      <c r="M122" s="0" t="str">
        <f aca="false">IF(L122="","",_xlfn.XLOOKUP(TRIM(L122),Metallic_Radius_Table!A:A,Metallic_Radius_Table!B:B))</f>
        <v/>
      </c>
      <c r="N122" s="0" t="str">
        <f aca="false">TRIM(LEFT(C122,FIND(",",C122)-1))</f>
        <v>Nb</v>
      </c>
      <c r="O122" s="3" t="n">
        <f aca="false">IF(N122="","",_xlfn.XLOOKUP(TRIM(N122),Metallic_Radius_Table!A:A,Metallic_Radius_Table!B:B))</f>
        <v>1.46</v>
      </c>
      <c r="P122" s="0" t="str">
        <f aca="false">TRIM(MID(C122,FIND(",",C122)+1,5))</f>
        <v>Ti</v>
      </c>
      <c r="Q122" s="0" t="n">
        <f aca="false">IF(P122="","",_xlfn.XLOOKUP(TRIM(P122),Metallic_Radius_Table!A:A,Metallic_Radius_Table!B:B))</f>
        <v>1.47</v>
      </c>
      <c r="R122" s="0" t="str">
        <f aca="false">IF(G122&gt;=1,   "Ferromagnetic / Ferrimagnetic",   IF(G122&gt;=0.05,      "Paramagnetic / Weakly magnetic",      "Antiferromagnetic / Diamagnetic"))</f>
        <v>Antiferromagnetic / Diamagnetic</v>
      </c>
      <c r="U122" s="0" t="str">
        <f aca="false">IF(G122&gt;=1,
   "FM → PM (Curie-type)",
   IF(G122&lt;0.05,
      "AFM → PM (Néel-type)",
      "No long-range magnetic transition"))</f>
        <v>AFM → PM (Néel-type)</v>
      </c>
    </row>
    <row r="123" customFormat="false" ht="13.8" hidden="false" customHeight="false" outlineLevel="0" collapsed="false">
      <c r="A123" s="0" t="s">
        <v>1180</v>
      </c>
      <c r="B123" s="0" t="s">
        <v>1181</v>
      </c>
      <c r="C123" s="0" t="s">
        <v>180</v>
      </c>
      <c r="D123" s="0" t="n">
        <v>-2.17822801708333</v>
      </c>
      <c r="E123" s="0" t="n">
        <v>0.015400652749999</v>
      </c>
      <c r="F123" s="0" t="n">
        <v>0</v>
      </c>
      <c r="G123" s="0" t="n">
        <v>15.9994279</v>
      </c>
      <c r="H123" s="0" t="s">
        <v>58</v>
      </c>
      <c r="I123" s="2" t="b">
        <f aca="false">TRUE()</f>
        <v>1</v>
      </c>
      <c r="J123" s="0" t="str">
        <f aca="false">IF(AND(CODE(MID(B123,2,1))&gt;=97,CODE(MID(B123,2,1))&lt;=122),LEFT(B123,2),LEFT(B123,1))</f>
        <v>Ti</v>
      </c>
      <c r="K123" s="0" t="n">
        <f aca="false">IF(J123="","",_xlfn.XLOOKUP(TRIM(J123),Metallic_Radius_Table!A:A,Metallic_Radius_Table!B:B))</f>
        <v>1.47</v>
      </c>
      <c r="L123" s="0" t="str">
        <f aca="false">IF(ISNUMBER(SEARCH("La",B123)),"La",
 IF(ISNUMBER(SEARCH("Nd",B123)),"Nd",
 IF(ISNUMBER(SEARCH("Eu",B123)),"Eu",
 IF(ISNUMBER(SEARCH("Gd",B123)),"Gd",""))))</f>
        <v/>
      </c>
      <c r="M123" s="0" t="str">
        <f aca="false">IF(L123="","",_xlfn.XLOOKUP(TRIM(L123),Metallic_Radius_Table!A:A,Metallic_Radius_Table!B:B))</f>
        <v/>
      </c>
      <c r="N123" s="0" t="str">
        <f aca="false">TRIM(LEFT(C123,FIND(",",C123)-1))</f>
        <v>Fe</v>
      </c>
      <c r="O123" s="3" t="n">
        <f aca="false">IF(N123="","",_xlfn.XLOOKUP(TRIM(N123),Metallic_Radius_Table!A:A,Metallic_Radius_Table!B:B))</f>
        <v>1.26</v>
      </c>
      <c r="P123" s="0" t="str">
        <f aca="false">TRIM(MID(C123,FIND(",",C123)+1,5))</f>
        <v>Ti</v>
      </c>
      <c r="Q123" s="0" t="n">
        <f aca="false">IF(P123="","",_xlfn.XLOOKUP(TRIM(P123),Metallic_Radius_Table!A:A,Metallic_Radius_Table!B:B))</f>
        <v>1.47</v>
      </c>
      <c r="R123" s="0" t="str">
        <f aca="false">IF(G123&gt;=1,   "Ferromagnetic / Ferrimagnetic",   IF(G123&gt;=0.05,      "Paramagnetic / Weakly magnetic",      "Antiferromagnetic / Diamagnetic"))</f>
        <v>Ferromagnetic / Ferrimagnetic</v>
      </c>
      <c r="U123" s="0" t="str">
        <f aca="false">IF(G123&gt;=1,
   "FM → PM (Curie-type)",
   IF(G123&lt;0.05,
      "AFM → PM (Néel-type)",
      "No long-range magnetic transition"))</f>
        <v>FM → PM (Curie-type)</v>
      </c>
    </row>
    <row r="124" customFormat="false" ht="13.8" hidden="false" customHeight="false" outlineLevel="0" collapsed="false">
      <c r="A124" s="0" t="s">
        <v>1182</v>
      </c>
      <c r="B124" s="0" t="s">
        <v>1183</v>
      </c>
      <c r="C124" s="0" t="s">
        <v>185</v>
      </c>
      <c r="D124" s="0" t="n">
        <v>-2.36724265773809</v>
      </c>
      <c r="E124" s="0" t="n">
        <v>0.068473642678569</v>
      </c>
      <c r="F124" s="0" t="n">
        <v>1.7575</v>
      </c>
      <c r="G124" s="0" t="n">
        <v>0.0049545</v>
      </c>
      <c r="H124" s="0" t="s">
        <v>1129</v>
      </c>
      <c r="I124" s="2" t="b">
        <f aca="false">TRUE()</f>
        <v>1</v>
      </c>
      <c r="J124" s="0" t="str">
        <f aca="false">IF(AND(CODE(MID(B124,2,1))&gt;=97,CODE(MID(B124,2,1))&lt;=122),LEFT(B124,2),LEFT(B124,1))</f>
        <v>Ti</v>
      </c>
      <c r="K124" s="0" t="n">
        <f aca="false">IF(J124="","",_xlfn.XLOOKUP(TRIM(J124),Metallic_Radius_Table!A:A,Metallic_Radius_Table!B:B))</f>
        <v>1.47</v>
      </c>
      <c r="L124" s="0" t="str">
        <f aca="false">IF(ISNUMBER(SEARCH("La",B124)),"La",
 IF(ISNUMBER(SEARCH("Nd",B124)),"Nd",
 IF(ISNUMBER(SEARCH("Eu",B124)),"Eu",
 IF(ISNUMBER(SEARCH("Gd",B124)),"Gd",""))))</f>
        <v/>
      </c>
      <c r="M124" s="0" t="str">
        <f aca="false">IF(L124="","",_xlfn.XLOOKUP(TRIM(L124),Metallic_Radius_Table!A:A,Metallic_Radius_Table!B:B))</f>
        <v/>
      </c>
      <c r="N124" s="0" t="str">
        <f aca="false">TRIM(LEFT(C124,FIND(",",C124)-1))</f>
        <v>Nb</v>
      </c>
      <c r="O124" s="3" t="n">
        <f aca="false">IF(N124="","",_xlfn.XLOOKUP(TRIM(N124),Metallic_Radius_Table!A:A,Metallic_Radius_Table!B:B))</f>
        <v>1.46</v>
      </c>
      <c r="P124" s="0" t="str">
        <f aca="false">TRIM(MID(C124,FIND(",",C124)+1,5))</f>
        <v>Ti</v>
      </c>
      <c r="Q124" s="0" t="n">
        <f aca="false">IF(P124="","",_xlfn.XLOOKUP(TRIM(P124),Metallic_Radius_Table!A:A,Metallic_Radius_Table!B:B))</f>
        <v>1.47</v>
      </c>
      <c r="R124" s="0" t="str">
        <f aca="false">IF(G124&gt;=1,   "Ferromagnetic / Ferrimagnetic",   IF(G124&gt;=0.05,      "Paramagnetic / Weakly magnetic",      "Antiferromagnetic / Diamagnetic"))</f>
        <v>Antiferromagnetic / Diamagnetic</v>
      </c>
      <c r="U124" s="0" t="str">
        <f aca="false">IF(G124&gt;=1,
   "FM → PM (Curie-type)",
   IF(G124&lt;0.05,
      "AFM → PM (Néel-type)",
      "No long-range magnetic transition"))</f>
        <v>AFM → PM (Néel-type)</v>
      </c>
    </row>
    <row r="125" customFormat="false" ht="13.8" hidden="false" customHeight="false" outlineLevel="0" collapsed="false">
      <c r="A125" s="0" t="s">
        <v>1184</v>
      </c>
      <c r="B125" s="0" t="s">
        <v>1183</v>
      </c>
      <c r="C125" s="0" t="s">
        <v>185</v>
      </c>
      <c r="D125" s="0" t="n">
        <v>-2.43193600309523</v>
      </c>
      <c r="E125" s="0" t="n">
        <v>0.003780297321426</v>
      </c>
      <c r="F125" s="0" t="n">
        <v>2.4233</v>
      </c>
      <c r="G125" s="0" t="n">
        <v>0.0001858</v>
      </c>
      <c r="H125" s="0" t="s">
        <v>634</v>
      </c>
      <c r="I125" s="2" t="b">
        <f aca="false">TRUE()</f>
        <v>1</v>
      </c>
      <c r="J125" s="0" t="str">
        <f aca="false">IF(AND(CODE(MID(B125,2,1))&gt;=97,CODE(MID(B125,2,1))&lt;=122),LEFT(B125,2),LEFT(B125,1))</f>
        <v>Ti</v>
      </c>
      <c r="K125" s="0" t="n">
        <f aca="false">IF(J125="","",_xlfn.XLOOKUP(TRIM(J125),Metallic_Radius_Table!A:A,Metallic_Radius_Table!B:B))</f>
        <v>1.47</v>
      </c>
      <c r="L125" s="0" t="str">
        <f aca="false">IF(ISNUMBER(SEARCH("La",B125)),"La",
 IF(ISNUMBER(SEARCH("Nd",B125)),"Nd",
 IF(ISNUMBER(SEARCH("Eu",B125)),"Eu",
 IF(ISNUMBER(SEARCH("Gd",B125)),"Gd",""))))</f>
        <v/>
      </c>
      <c r="M125" s="0" t="str">
        <f aca="false">IF(L125="","",_xlfn.XLOOKUP(TRIM(L125),Metallic_Radius_Table!A:A,Metallic_Radius_Table!B:B))</f>
        <v/>
      </c>
      <c r="N125" s="0" t="str">
        <f aca="false">TRIM(LEFT(C125,FIND(",",C125)-1))</f>
        <v>Nb</v>
      </c>
      <c r="O125" s="3" t="n">
        <f aca="false">IF(N125="","",_xlfn.XLOOKUP(TRIM(N125),Metallic_Radius_Table!A:A,Metallic_Radius_Table!B:B))</f>
        <v>1.46</v>
      </c>
      <c r="P125" s="0" t="str">
        <f aca="false">TRIM(MID(C125,FIND(",",C125)+1,5))</f>
        <v>Ti</v>
      </c>
      <c r="Q125" s="0" t="n">
        <f aca="false">IF(P125="","",_xlfn.XLOOKUP(TRIM(P125),Metallic_Radius_Table!A:A,Metallic_Radius_Table!B:B))</f>
        <v>1.47</v>
      </c>
      <c r="R125" s="0" t="str">
        <f aca="false">IF(G125&gt;=1,   "Ferromagnetic / Ferrimagnetic",   IF(G125&gt;=0.05,      "Paramagnetic / Weakly magnetic",      "Antiferromagnetic / Diamagnetic"))</f>
        <v>Antiferromagnetic / Diamagnetic</v>
      </c>
      <c r="U125" s="0" t="str">
        <f aca="false">IF(G125&gt;=1,
   "FM → PM (Curie-type)",
   IF(G125&lt;0.05,
      "AFM → PM (Néel-type)",
      "No long-range magnetic transition"))</f>
        <v>AFM → PM (Néel-type)</v>
      </c>
    </row>
    <row r="126" customFormat="false" ht="13.8" hidden="false" customHeight="false" outlineLevel="0" collapsed="false">
      <c r="A126" s="0" t="s">
        <v>1185</v>
      </c>
      <c r="B126" s="0" t="s">
        <v>1186</v>
      </c>
      <c r="C126" s="0" t="s">
        <v>996</v>
      </c>
      <c r="D126" s="0" t="n">
        <v>-2.5802562415</v>
      </c>
      <c r="E126" s="0" t="n">
        <v>0.011655866589286</v>
      </c>
      <c r="F126" s="0" t="n">
        <v>0.348999999999999</v>
      </c>
      <c r="G126" s="0" t="n">
        <v>5.9990223</v>
      </c>
      <c r="H126" s="0" t="s">
        <v>54</v>
      </c>
      <c r="I126" s="2" t="b">
        <f aca="false">TRUE()</f>
        <v>1</v>
      </c>
      <c r="J126" s="0" t="str">
        <f aca="false">IF(AND(CODE(MID(B126,2,1))&gt;=97,CODE(MID(B126,2,1))&lt;=122),LEFT(B126,2),LEFT(B126,1))</f>
        <v>Y</v>
      </c>
      <c r="K126" s="0" t="n">
        <f aca="false">IF(J126="","",_xlfn.XLOOKUP(TRIM(J126),Metallic_Radius_Table!A:A,Metallic_Radius_Table!B:B))</f>
        <v>1.8</v>
      </c>
      <c r="L126" s="0" t="str">
        <f aca="false">IF(ISNUMBER(SEARCH("La",B126)),"La",
 IF(ISNUMBER(SEARCH("Nd",B126)),"Nd",
 IF(ISNUMBER(SEARCH("Eu",B126)),"Eu",
 IF(ISNUMBER(SEARCH("Gd",B126)),"Gd",""))))</f>
        <v/>
      </c>
      <c r="M126" s="0" t="str">
        <f aca="false">IF(L126="","",_xlfn.XLOOKUP(TRIM(L126),Metallic_Radius_Table!A:A,Metallic_Radius_Table!B:B))</f>
        <v/>
      </c>
      <c r="N126" s="0" t="str">
        <f aca="false">TRIM(LEFT(C126,FIND(",",C126)-1))</f>
        <v>Co</v>
      </c>
      <c r="O126" s="3" t="n">
        <f aca="false">IF(N126="","",_xlfn.XLOOKUP(TRIM(N126),Metallic_Radius_Table!A:A,Metallic_Radius_Table!B:B))</f>
        <v>1.25</v>
      </c>
      <c r="P126" s="0" t="str">
        <f aca="false">TRIM(MID(C126,FIND(",",C126)+1,5))</f>
        <v>Y</v>
      </c>
      <c r="Q126" s="0" t="n">
        <f aca="false">IF(P126="","",_xlfn.XLOOKUP(TRIM(P126),Metallic_Radius_Table!A:A,Metallic_Radius_Table!B:B))</f>
        <v>1.8</v>
      </c>
      <c r="R126" s="0" t="str">
        <f aca="false">IF(G126&gt;=1,   "Ferromagnetic / Ferrimagnetic",   IF(G126&gt;=0.05,      "Paramagnetic / Weakly magnetic",      "Antiferromagnetic / Diamagnetic"))</f>
        <v>Ferromagnetic / Ferrimagnetic</v>
      </c>
      <c r="U126" s="0" t="str">
        <f aca="false">IF(G126&gt;=1,
   "FM → PM (Curie-type)",
   IF(G126&lt;0.05,
      "AFM → PM (Néel-type)",
      "No long-range magnetic transition"))</f>
        <v>FM → PM (Curie-type)</v>
      </c>
    </row>
    <row r="127" customFormat="false" ht="13.8" hidden="false" customHeight="false" outlineLevel="0" collapsed="false">
      <c r="A127" s="0" t="s">
        <v>1187</v>
      </c>
      <c r="B127" s="0" t="s">
        <v>1186</v>
      </c>
      <c r="C127" s="0" t="s">
        <v>996</v>
      </c>
      <c r="D127" s="0" t="n">
        <v>-2.57644739849999</v>
      </c>
      <c r="E127" s="0" t="n">
        <v>0.015464709589286</v>
      </c>
      <c r="F127" s="0" t="n">
        <v>0.1141</v>
      </c>
      <c r="G127" s="0" t="n">
        <v>12.0000001</v>
      </c>
      <c r="H127" s="0" t="s">
        <v>352</v>
      </c>
      <c r="I127" s="2" t="b">
        <f aca="false">TRUE()</f>
        <v>1</v>
      </c>
      <c r="J127" s="0" t="str">
        <f aca="false">IF(AND(CODE(MID(B127,2,1))&gt;=97,CODE(MID(B127,2,1))&lt;=122),LEFT(B127,2),LEFT(B127,1))</f>
        <v>Y</v>
      </c>
      <c r="K127" s="0" t="n">
        <f aca="false">IF(J127="","",_xlfn.XLOOKUP(TRIM(J127),Metallic_Radius_Table!A:A,Metallic_Radius_Table!B:B))</f>
        <v>1.8</v>
      </c>
      <c r="L127" s="0" t="str">
        <f aca="false">IF(ISNUMBER(SEARCH("La",B127)),"La",
 IF(ISNUMBER(SEARCH("Nd",B127)),"Nd",
 IF(ISNUMBER(SEARCH("Eu",B127)),"Eu",
 IF(ISNUMBER(SEARCH("Gd",B127)),"Gd",""))))</f>
        <v/>
      </c>
      <c r="M127" s="0" t="str">
        <f aca="false">IF(L127="","",_xlfn.XLOOKUP(TRIM(L127),Metallic_Radius_Table!A:A,Metallic_Radius_Table!B:B))</f>
        <v/>
      </c>
      <c r="N127" s="0" t="str">
        <f aca="false">TRIM(LEFT(C127,FIND(",",C127)-1))</f>
        <v>Co</v>
      </c>
      <c r="O127" s="3" t="n">
        <f aca="false">IF(N127="","",_xlfn.XLOOKUP(TRIM(N127),Metallic_Radius_Table!A:A,Metallic_Radius_Table!B:B))</f>
        <v>1.25</v>
      </c>
      <c r="P127" s="0" t="str">
        <f aca="false">TRIM(MID(C127,FIND(",",C127)+1,5))</f>
        <v>Y</v>
      </c>
      <c r="Q127" s="0" t="n">
        <f aca="false">IF(P127="","",_xlfn.XLOOKUP(TRIM(P127),Metallic_Radius_Table!A:A,Metallic_Radius_Table!B:B))</f>
        <v>1.8</v>
      </c>
      <c r="R127" s="0" t="str">
        <f aca="false">IF(G127&gt;=1,   "Ferromagnetic / Ferrimagnetic",   IF(G127&gt;=0.05,      "Paramagnetic / Weakly magnetic",      "Antiferromagnetic / Diamagnetic"))</f>
        <v>Ferromagnetic / Ferrimagnetic</v>
      </c>
      <c r="U127" s="0" t="str">
        <f aca="false">IF(G127&gt;=1,
   "FM → PM (Curie-type)",
   IF(G127&lt;0.05,
      "AFM → PM (Néel-type)",
      "No long-range magnetic transition"))</f>
        <v>FM → PM (Curie-type)</v>
      </c>
    </row>
    <row r="128" customFormat="false" ht="13.8" hidden="false" customHeight="false" outlineLevel="0" collapsed="false">
      <c r="A128" s="0" t="s">
        <v>1188</v>
      </c>
      <c r="B128" s="0" t="s">
        <v>1186</v>
      </c>
      <c r="C128" s="0" t="s">
        <v>996</v>
      </c>
      <c r="D128" s="0" t="n">
        <v>-2.56918979066666</v>
      </c>
      <c r="E128" s="0" t="n">
        <v>0.022722317422617</v>
      </c>
      <c r="F128" s="0" t="n">
        <v>0.007299999999999</v>
      </c>
      <c r="G128" s="0" t="n">
        <v>11.9996914</v>
      </c>
      <c r="H128" s="0" t="s">
        <v>1189</v>
      </c>
      <c r="I128" s="2" t="b">
        <f aca="false">TRUE()</f>
        <v>1</v>
      </c>
      <c r="J128" s="0" t="str">
        <f aca="false">IF(AND(CODE(MID(B128,2,1))&gt;=97,CODE(MID(B128,2,1))&lt;=122),LEFT(B128,2),LEFT(B128,1))</f>
        <v>Y</v>
      </c>
      <c r="K128" s="0" t="n">
        <f aca="false">IF(J128="","",_xlfn.XLOOKUP(TRIM(J128),Metallic_Radius_Table!A:A,Metallic_Radius_Table!B:B))</f>
        <v>1.8</v>
      </c>
      <c r="L128" s="0" t="str">
        <f aca="false">IF(ISNUMBER(SEARCH("La",B128)),"La",
 IF(ISNUMBER(SEARCH("Nd",B128)),"Nd",
 IF(ISNUMBER(SEARCH("Eu",B128)),"Eu",
 IF(ISNUMBER(SEARCH("Gd",B128)),"Gd",""))))</f>
        <v/>
      </c>
      <c r="M128" s="0" t="str">
        <f aca="false">IF(L128="","",_xlfn.XLOOKUP(TRIM(L128),Metallic_Radius_Table!A:A,Metallic_Radius_Table!B:B))</f>
        <v/>
      </c>
      <c r="N128" s="0" t="str">
        <f aca="false">TRIM(LEFT(C128,FIND(",",C128)-1))</f>
        <v>Co</v>
      </c>
      <c r="O128" s="3" t="n">
        <f aca="false">IF(N128="","",_xlfn.XLOOKUP(TRIM(N128),Metallic_Radius_Table!A:A,Metallic_Radius_Table!B:B))</f>
        <v>1.25</v>
      </c>
      <c r="P128" s="0" t="str">
        <f aca="false">TRIM(MID(C128,FIND(",",C128)+1,5))</f>
        <v>Y</v>
      </c>
      <c r="Q128" s="0" t="n">
        <f aca="false">IF(P128="","",_xlfn.XLOOKUP(TRIM(P128),Metallic_Radius_Table!A:A,Metallic_Radius_Table!B:B))</f>
        <v>1.8</v>
      </c>
      <c r="R128" s="0" t="str">
        <f aca="false">IF(G128&gt;=1,   "Ferromagnetic / Ferrimagnetic",   IF(G128&gt;=0.05,      "Paramagnetic / Weakly magnetic",      "Antiferromagnetic / Diamagnetic"))</f>
        <v>Ferromagnetic / Ferrimagnetic</v>
      </c>
      <c r="U128" s="0" t="str">
        <f aca="false">IF(G128&gt;=1,
   "FM → PM (Curie-type)",
   IF(G128&lt;0.05,
      "AFM → PM (Néel-type)",
      "No long-range magnetic transition"))</f>
        <v>FM → PM (Curie-type)</v>
      </c>
    </row>
    <row r="129" customFormat="false" ht="13.8" hidden="false" customHeight="false" outlineLevel="0" collapsed="false">
      <c r="A129" s="0" t="s">
        <v>1190</v>
      </c>
      <c r="B129" s="0" t="s">
        <v>1186</v>
      </c>
      <c r="C129" s="0" t="s">
        <v>996</v>
      </c>
      <c r="D129" s="0" t="n">
        <v>-2.48556711399999</v>
      </c>
      <c r="E129" s="0" t="n">
        <v>0.106344994089285</v>
      </c>
      <c r="F129" s="0" t="n">
        <v>0</v>
      </c>
      <c r="G129" s="0" t="n">
        <v>4.0105039</v>
      </c>
      <c r="H129" s="0" t="s">
        <v>86</v>
      </c>
      <c r="I129" s="2" t="b">
        <f aca="false">TRUE()</f>
        <v>1</v>
      </c>
      <c r="J129" s="0" t="str">
        <f aca="false">IF(AND(CODE(MID(B129,2,1))&gt;=97,CODE(MID(B129,2,1))&lt;=122),LEFT(B129,2),LEFT(B129,1))</f>
        <v>Y</v>
      </c>
      <c r="K129" s="0" t="n">
        <f aca="false">IF(J129="","",_xlfn.XLOOKUP(TRIM(J129),Metallic_Radius_Table!A:A,Metallic_Radius_Table!B:B))</f>
        <v>1.8</v>
      </c>
      <c r="L129" s="0" t="str">
        <f aca="false">IF(ISNUMBER(SEARCH("La",B129)),"La",
 IF(ISNUMBER(SEARCH("Nd",B129)),"Nd",
 IF(ISNUMBER(SEARCH("Eu",B129)),"Eu",
 IF(ISNUMBER(SEARCH("Gd",B129)),"Gd",""))))</f>
        <v/>
      </c>
      <c r="M129" s="0" t="str">
        <f aca="false">IF(L129="","",_xlfn.XLOOKUP(TRIM(L129),Metallic_Radius_Table!A:A,Metallic_Radius_Table!B:B))</f>
        <v/>
      </c>
      <c r="N129" s="0" t="str">
        <f aca="false">TRIM(LEFT(C129,FIND(",",C129)-1))</f>
        <v>Co</v>
      </c>
      <c r="O129" s="3" t="n">
        <f aca="false">IF(N129="","",_xlfn.XLOOKUP(TRIM(N129),Metallic_Radius_Table!A:A,Metallic_Radius_Table!B:B))</f>
        <v>1.25</v>
      </c>
      <c r="P129" s="0" t="str">
        <f aca="false">TRIM(MID(C129,FIND(",",C129)+1,5))</f>
        <v>Y</v>
      </c>
      <c r="Q129" s="0" t="n">
        <f aca="false">IF(P129="","",_xlfn.XLOOKUP(TRIM(P129),Metallic_Radius_Table!A:A,Metallic_Radius_Table!B:B))</f>
        <v>1.8</v>
      </c>
      <c r="R129" s="0" t="str">
        <f aca="false">IF(G129&gt;=1,   "Ferromagnetic / Ferrimagnetic",   IF(G129&gt;=0.05,      "Paramagnetic / Weakly magnetic",      "Antiferromagnetic / Diamagnetic"))</f>
        <v>Ferromagnetic / Ferrimagnetic</v>
      </c>
      <c r="U129" s="0" t="str">
        <f aca="false">IF(G129&gt;=1,
   "FM → PM (Curie-type)",
   IF(G129&lt;0.05,
      "AFM → PM (Néel-type)",
      "No long-range magnetic transition"))</f>
        <v>FM → PM (Curie-type)</v>
      </c>
    </row>
    <row r="130" customFormat="false" ht="13.8" hidden="false" customHeight="false" outlineLevel="0" collapsed="false">
      <c r="A130" s="0" t="s">
        <v>1191</v>
      </c>
      <c r="B130" s="0" t="s">
        <v>1186</v>
      </c>
      <c r="C130" s="0" t="s">
        <v>996</v>
      </c>
      <c r="D130" s="0" t="n">
        <v>-2.5912072365</v>
      </c>
      <c r="E130" s="0" t="n">
        <v>0.000704871589285</v>
      </c>
      <c r="F130" s="0" t="n">
        <v>0</v>
      </c>
      <c r="G130" s="4" t="n">
        <v>1E-007</v>
      </c>
      <c r="H130" s="0" t="s">
        <v>66</v>
      </c>
      <c r="I130" s="2" t="b">
        <f aca="false">TRUE()</f>
        <v>1</v>
      </c>
      <c r="J130" s="0" t="str">
        <f aca="false">IF(AND(CODE(MID(B130,2,1))&gt;=97,CODE(MID(B130,2,1))&lt;=122),LEFT(B130,2),LEFT(B130,1))</f>
        <v>Y</v>
      </c>
      <c r="K130" s="0" t="n">
        <f aca="false">IF(J130="","",_xlfn.XLOOKUP(TRIM(J130),Metallic_Radius_Table!A:A,Metallic_Radius_Table!B:B))</f>
        <v>1.8</v>
      </c>
      <c r="L130" s="0" t="str">
        <f aca="false">IF(ISNUMBER(SEARCH("La",B130)),"La",
 IF(ISNUMBER(SEARCH("Nd",B130)),"Nd",
 IF(ISNUMBER(SEARCH("Eu",B130)),"Eu",
 IF(ISNUMBER(SEARCH("Gd",B130)),"Gd",""))))</f>
        <v/>
      </c>
      <c r="M130" s="0" t="str">
        <f aca="false">IF(L130="","",_xlfn.XLOOKUP(TRIM(L130),Metallic_Radius_Table!A:A,Metallic_Radius_Table!B:B))</f>
        <v/>
      </c>
      <c r="N130" s="0" t="str">
        <f aca="false">TRIM(LEFT(C130,FIND(",",C130)-1))</f>
        <v>Co</v>
      </c>
      <c r="O130" s="3" t="n">
        <f aca="false">IF(N130="","",_xlfn.XLOOKUP(TRIM(N130),Metallic_Radius_Table!A:A,Metallic_Radius_Table!B:B))</f>
        <v>1.25</v>
      </c>
      <c r="P130" s="0" t="str">
        <f aca="false">TRIM(MID(C130,FIND(",",C130)+1,5))</f>
        <v>Y</v>
      </c>
      <c r="Q130" s="0" t="n">
        <f aca="false">IF(P130="","",_xlfn.XLOOKUP(TRIM(P130),Metallic_Radius_Table!A:A,Metallic_Radius_Table!B:B))</f>
        <v>1.8</v>
      </c>
      <c r="R130" s="0" t="str">
        <f aca="false">IF(G130&gt;=1,   "Ferromagnetic / Ferrimagnetic",   IF(G130&gt;=0.05,      "Paramagnetic / Weakly magnetic",      "Antiferromagnetic / Diamagnetic"))</f>
        <v>Antiferromagnetic / Diamagnetic</v>
      </c>
      <c r="U130" s="0" t="str">
        <f aca="false">IF(G130&gt;=1,
   "FM → PM (Curie-type)",
   IF(G130&lt;0.05,
      "AFM → PM (Néel-type)",
      "No long-range magnetic transition"))</f>
        <v>AFM → PM (Néel-type)</v>
      </c>
    </row>
    <row r="131" customFormat="false" ht="13.8" hidden="false" customHeight="false" outlineLevel="0" collapsed="false">
      <c r="A131" s="0" t="s">
        <v>1192</v>
      </c>
      <c r="B131" s="0" t="s">
        <v>1193</v>
      </c>
      <c r="C131" s="0" t="s">
        <v>917</v>
      </c>
      <c r="D131" s="0" t="n">
        <v>-3.06251055083333</v>
      </c>
      <c r="E131" s="0" t="n">
        <v>0.008678563833328</v>
      </c>
      <c r="F131" s="0" t="n">
        <v>3.2276</v>
      </c>
      <c r="G131" s="0" t="n">
        <v>0</v>
      </c>
      <c r="H131" s="0" t="s">
        <v>689</v>
      </c>
      <c r="I131" s="2" t="b">
        <f aca="false">TRUE()</f>
        <v>1</v>
      </c>
      <c r="J131" s="0" t="str">
        <f aca="false">IF(AND(CODE(MID(B131,2,1))&gt;=97,CODE(MID(B131,2,1))&lt;=122),LEFT(B131,2),LEFT(B131,1))</f>
        <v>Y</v>
      </c>
      <c r="K131" s="0" t="n">
        <f aca="false">IF(J131="","",_xlfn.XLOOKUP(TRIM(J131),Metallic_Radius_Table!A:A,Metallic_Radius_Table!B:B))</f>
        <v>1.8</v>
      </c>
      <c r="L131" s="0" t="str">
        <f aca="false">IF(ISNUMBER(SEARCH("La",B131)),"La",
 IF(ISNUMBER(SEARCH("Nd",B131)),"Nd",
 IF(ISNUMBER(SEARCH("Eu",B131)),"Eu",
 IF(ISNUMBER(SEARCH("Gd",B131)),"Gd",""))))</f>
        <v/>
      </c>
      <c r="M131" s="0" t="str">
        <f aca="false">IF(L131="","",_xlfn.XLOOKUP(TRIM(L131),Metallic_Radius_Table!A:A,Metallic_Radius_Table!B:B))</f>
        <v/>
      </c>
      <c r="N131" s="0" t="str">
        <f aca="false">TRIM(LEFT(C131,FIND(",",C131)-1))</f>
        <v>Cr</v>
      </c>
      <c r="O131" s="3" t="n">
        <f aca="false">IF(N131="","",_xlfn.XLOOKUP(TRIM(N131),Metallic_Radius_Table!A:A,Metallic_Radius_Table!B:B))</f>
        <v>1.28</v>
      </c>
      <c r="P131" s="0" t="str">
        <f aca="false">TRIM(MID(C131,FIND(",",C131)+1,5))</f>
        <v>Y</v>
      </c>
      <c r="Q131" s="0" t="n">
        <f aca="false">IF(P131="","",_xlfn.XLOOKUP(TRIM(P131),Metallic_Radius_Table!A:A,Metallic_Radius_Table!B:B))</f>
        <v>1.8</v>
      </c>
      <c r="R131" s="0" t="str">
        <f aca="false">IF(G131&gt;=1,   "Ferromagnetic / Ferrimagnetic",   IF(G131&gt;=0.05,      "Paramagnetic / Weakly magnetic",      "Antiferromagnetic / Diamagnetic"))</f>
        <v>Antiferromagnetic / Diamagnetic</v>
      </c>
      <c r="U131" s="0" t="str">
        <f aca="false">IF(G131&gt;=1,
   "FM → PM (Curie-type)",
   IF(G131&lt;0.05,
      "AFM → PM (Néel-type)",
      "No long-range magnetic transition"))</f>
        <v>AFM → PM (Néel-type)</v>
      </c>
    </row>
    <row r="132" customFormat="false" ht="13.8" hidden="false" customHeight="false" outlineLevel="0" collapsed="false">
      <c r="A132" s="0" t="s">
        <v>1194</v>
      </c>
      <c r="B132" s="0" t="s">
        <v>1195</v>
      </c>
      <c r="C132" s="0" t="s">
        <v>917</v>
      </c>
      <c r="D132" s="0" t="n">
        <v>-3.03308638933333</v>
      </c>
      <c r="E132" s="0" t="n">
        <v>0.157926261166666</v>
      </c>
      <c r="F132" s="0" t="n">
        <v>1.3989</v>
      </c>
      <c r="G132" s="0" t="n">
        <v>17.9991696</v>
      </c>
      <c r="H132" s="0" t="s">
        <v>1189</v>
      </c>
      <c r="I132" s="2" t="b">
        <f aca="false">TRUE()</f>
        <v>1</v>
      </c>
      <c r="J132" s="0" t="str">
        <f aca="false">IF(AND(CODE(MID(B132,2,1))&gt;=97,CODE(MID(B132,2,1))&lt;=122),LEFT(B132,2),LEFT(B132,1))</f>
        <v>Y</v>
      </c>
      <c r="K132" s="0" t="n">
        <f aca="false">IF(J132="","",_xlfn.XLOOKUP(TRIM(J132),Metallic_Radius_Table!A:A,Metallic_Radius_Table!B:B))</f>
        <v>1.8</v>
      </c>
      <c r="L132" s="0" t="str">
        <f aca="false">IF(ISNUMBER(SEARCH("La",B132)),"La",
 IF(ISNUMBER(SEARCH("Nd",B132)),"Nd",
 IF(ISNUMBER(SEARCH("Eu",B132)),"Eu",
 IF(ISNUMBER(SEARCH("Gd",B132)),"Gd",""))))</f>
        <v/>
      </c>
      <c r="M132" s="0" t="str">
        <f aca="false">IF(L132="","",_xlfn.XLOOKUP(TRIM(L132),Metallic_Radius_Table!A:A,Metallic_Radius_Table!B:B))</f>
        <v/>
      </c>
      <c r="N132" s="0" t="str">
        <f aca="false">TRIM(LEFT(C132,FIND(",",C132)-1))</f>
        <v>Cr</v>
      </c>
      <c r="O132" s="3" t="n">
        <f aca="false">IF(N132="","",_xlfn.XLOOKUP(TRIM(N132),Metallic_Radius_Table!A:A,Metallic_Radius_Table!B:B))</f>
        <v>1.28</v>
      </c>
      <c r="P132" s="0" t="str">
        <f aca="false">TRIM(MID(C132,FIND(",",C132)+1,5))</f>
        <v>Y</v>
      </c>
      <c r="Q132" s="0" t="n">
        <f aca="false">IF(P132="","",_xlfn.XLOOKUP(TRIM(P132),Metallic_Radius_Table!A:A,Metallic_Radius_Table!B:B))</f>
        <v>1.8</v>
      </c>
      <c r="R132" s="0" t="str">
        <f aca="false">IF(G132&gt;=1,   "Ferromagnetic / Ferrimagnetic",   IF(G132&gt;=0.05,      "Paramagnetic / Weakly magnetic",      "Antiferromagnetic / Diamagnetic"))</f>
        <v>Ferromagnetic / Ferrimagnetic</v>
      </c>
      <c r="U132" s="0" t="str">
        <f aca="false">IF(G132&gt;=1,
   "FM → PM (Curie-type)",
   IF(G132&lt;0.05,
      "AFM → PM (Néel-type)",
      "No long-range magnetic transition"))</f>
        <v>FM → PM (Curie-type)</v>
      </c>
    </row>
    <row r="133" customFormat="false" ht="13.8" hidden="false" customHeight="false" outlineLevel="0" collapsed="false">
      <c r="A133" s="0" t="s">
        <v>1196</v>
      </c>
      <c r="B133" s="0" t="s">
        <v>1195</v>
      </c>
      <c r="C133" s="0" t="s">
        <v>917</v>
      </c>
      <c r="D133" s="0" t="n">
        <v>-3.1910126505</v>
      </c>
      <c r="E133" s="0" t="n">
        <v>0</v>
      </c>
      <c r="F133" s="0" t="n">
        <v>2.4831</v>
      </c>
      <c r="G133" s="0" t="n">
        <v>12.0000009</v>
      </c>
      <c r="H133" s="0" t="s">
        <v>66</v>
      </c>
      <c r="I133" s="2" t="b">
        <f aca="false">TRUE()</f>
        <v>1</v>
      </c>
      <c r="J133" s="0" t="str">
        <f aca="false">IF(AND(CODE(MID(B133,2,1))&gt;=97,CODE(MID(B133,2,1))&lt;=122),LEFT(B133,2),LEFT(B133,1))</f>
        <v>Y</v>
      </c>
      <c r="K133" s="0" t="n">
        <f aca="false">IF(J133="","",_xlfn.XLOOKUP(TRIM(J133),Metallic_Radius_Table!A:A,Metallic_Radius_Table!B:B))</f>
        <v>1.8</v>
      </c>
      <c r="L133" s="0" t="str">
        <f aca="false">IF(ISNUMBER(SEARCH("La",B133)),"La",
 IF(ISNUMBER(SEARCH("Nd",B133)),"Nd",
 IF(ISNUMBER(SEARCH("Eu",B133)),"Eu",
 IF(ISNUMBER(SEARCH("Gd",B133)),"Gd",""))))</f>
        <v/>
      </c>
      <c r="M133" s="0" t="str">
        <f aca="false">IF(L133="","",_xlfn.XLOOKUP(TRIM(L133),Metallic_Radius_Table!A:A,Metallic_Radius_Table!B:B))</f>
        <v/>
      </c>
      <c r="N133" s="0" t="str">
        <f aca="false">TRIM(LEFT(C133,FIND(",",C133)-1))</f>
        <v>Cr</v>
      </c>
      <c r="O133" s="3" t="n">
        <f aca="false">IF(N133="","",_xlfn.XLOOKUP(TRIM(N133),Metallic_Radius_Table!A:A,Metallic_Radius_Table!B:B))</f>
        <v>1.28</v>
      </c>
      <c r="P133" s="0" t="str">
        <f aca="false">TRIM(MID(C133,FIND(",",C133)+1,5))</f>
        <v>Y</v>
      </c>
      <c r="Q133" s="0" t="n">
        <f aca="false">IF(P133="","",_xlfn.XLOOKUP(TRIM(P133),Metallic_Radius_Table!A:A,Metallic_Radius_Table!B:B))</f>
        <v>1.8</v>
      </c>
      <c r="R133" s="0" t="str">
        <f aca="false">IF(G133&gt;=1,   "Ferromagnetic / Ferrimagnetic",   IF(G133&gt;=0.05,      "Paramagnetic / Weakly magnetic",      "Antiferromagnetic / Diamagnetic"))</f>
        <v>Ferromagnetic / Ferrimagnetic</v>
      </c>
      <c r="U133" s="0" t="str">
        <f aca="false">IF(G133&gt;=1,
   "FM → PM (Curie-type)",
   IF(G133&lt;0.05,
      "AFM → PM (Néel-type)",
      "No long-range magnetic transition"))</f>
        <v>FM → PM (Curie-type)</v>
      </c>
    </row>
    <row r="134" customFormat="false" ht="13.8" hidden="false" customHeight="false" outlineLevel="0" collapsed="false">
      <c r="A134" s="0" t="s">
        <v>1197</v>
      </c>
      <c r="B134" s="0" t="s">
        <v>1198</v>
      </c>
      <c r="C134" s="0" t="s">
        <v>1199</v>
      </c>
      <c r="D134" s="0" t="n">
        <v>-2.94213907984375</v>
      </c>
      <c r="E134" s="0" t="n">
        <v>0.107831049648437</v>
      </c>
      <c r="F134" s="0" t="n">
        <v>0</v>
      </c>
      <c r="G134" s="0" t="n">
        <v>1.5620961</v>
      </c>
      <c r="H134" s="0" t="s">
        <v>1044</v>
      </c>
      <c r="I134" s="2" t="b">
        <f aca="false">TRUE()</f>
        <v>1</v>
      </c>
      <c r="J134" s="0" t="str">
        <f aca="false">IF(AND(CODE(MID(B134,2,1))&gt;=97,CODE(MID(B134,2,1))&lt;=122),LEFT(B134,2),LEFT(B134,1))</f>
        <v>Y</v>
      </c>
      <c r="K134" s="0" t="n">
        <f aca="false">IF(J134="","",_xlfn.XLOOKUP(TRIM(J134),Metallic_Radius_Table!A:A,Metallic_Radius_Table!B:B))</f>
        <v>1.8</v>
      </c>
      <c r="L134" s="0" t="str">
        <f aca="false">IF(ISNUMBER(SEARCH("La",B134)),"La",
 IF(ISNUMBER(SEARCH("Nd",B134)),"Nd",
 IF(ISNUMBER(SEARCH("Eu",B134)),"Eu",
 IF(ISNUMBER(SEARCH("Gd",B134)),"Gd",""))))</f>
        <v/>
      </c>
      <c r="M134" s="0" t="str">
        <f aca="false">IF(L134="","",_xlfn.XLOOKUP(TRIM(L134),Metallic_Radius_Table!A:A,Metallic_Radius_Table!B:B))</f>
        <v/>
      </c>
      <c r="N134" s="0" t="str">
        <f aca="false">TRIM(LEFT(C134,FIND(",",C134)-1))</f>
        <v>Hf</v>
      </c>
      <c r="O134" s="3" t="n">
        <f aca="false">IF(N134="","",_xlfn.XLOOKUP(TRIM(N134),Metallic_Radius_Table!A:A,Metallic_Radius_Table!B:B))</f>
        <v>1.59</v>
      </c>
      <c r="P134" s="0" t="str">
        <f aca="false">TRIM(MID(C134,FIND(",",C134)+1,5))</f>
        <v>Y</v>
      </c>
      <c r="Q134" s="0" t="n">
        <f aca="false">IF(P134="","",_xlfn.XLOOKUP(TRIM(P134),Metallic_Radius_Table!A:A,Metallic_Radius_Table!B:B))</f>
        <v>1.8</v>
      </c>
      <c r="R134" s="0" t="str">
        <f aca="false">IF(G134&gt;=1,   "Ferromagnetic / Ferrimagnetic",   IF(G134&gt;=0.05,      "Paramagnetic / Weakly magnetic",      "Antiferromagnetic / Diamagnetic"))</f>
        <v>Ferromagnetic / Ferrimagnetic</v>
      </c>
      <c r="U134" s="0" t="str">
        <f aca="false">IF(G134&gt;=1,
   "FM → PM (Curie-type)",
   IF(G134&lt;0.05,
      "AFM → PM (Néel-type)",
      "No long-range magnetic transition"))</f>
        <v>FM → PM (Curie-type)</v>
      </c>
    </row>
    <row r="135" customFormat="false" ht="13.8" hidden="false" customHeight="false" outlineLevel="0" collapsed="false">
      <c r="A135" s="0" t="s">
        <v>1200</v>
      </c>
      <c r="B135" s="0" t="s">
        <v>1198</v>
      </c>
      <c r="C135" s="0" t="s">
        <v>1199</v>
      </c>
      <c r="D135" s="0" t="n">
        <v>-2.93993663406249</v>
      </c>
      <c r="E135" s="0" t="n">
        <v>0.110033495429687</v>
      </c>
      <c r="F135" s="0" t="n">
        <v>0</v>
      </c>
      <c r="G135" s="0" t="n">
        <v>1.13247839999999</v>
      </c>
      <c r="H135" s="0" t="s">
        <v>1044</v>
      </c>
      <c r="I135" s="2" t="b">
        <f aca="false">TRUE()</f>
        <v>1</v>
      </c>
      <c r="J135" s="0" t="str">
        <f aca="false">IF(AND(CODE(MID(B135,2,1))&gt;=97,CODE(MID(B135,2,1))&lt;=122),LEFT(B135,2),LEFT(B135,1))</f>
        <v>Y</v>
      </c>
      <c r="K135" s="0" t="n">
        <f aca="false">IF(J135="","",_xlfn.XLOOKUP(TRIM(J135),Metallic_Radius_Table!A:A,Metallic_Radius_Table!B:B))</f>
        <v>1.8</v>
      </c>
      <c r="L135" s="0" t="str">
        <f aca="false">IF(ISNUMBER(SEARCH("La",B135)),"La",
 IF(ISNUMBER(SEARCH("Nd",B135)),"Nd",
 IF(ISNUMBER(SEARCH("Eu",B135)),"Eu",
 IF(ISNUMBER(SEARCH("Gd",B135)),"Gd",""))))</f>
        <v/>
      </c>
      <c r="M135" s="0" t="str">
        <f aca="false">IF(L135="","",_xlfn.XLOOKUP(TRIM(L135),Metallic_Radius_Table!A:A,Metallic_Radius_Table!B:B))</f>
        <v/>
      </c>
      <c r="N135" s="0" t="str">
        <f aca="false">TRIM(LEFT(C135,FIND(",",C135)-1))</f>
        <v>Hf</v>
      </c>
      <c r="O135" s="3" t="n">
        <f aca="false">IF(N135="","",_xlfn.XLOOKUP(TRIM(N135),Metallic_Radius_Table!A:A,Metallic_Radius_Table!B:B))</f>
        <v>1.59</v>
      </c>
      <c r="P135" s="0" t="str">
        <f aca="false">TRIM(MID(C135,FIND(",",C135)+1,5))</f>
        <v>Y</v>
      </c>
      <c r="Q135" s="0" t="n">
        <f aca="false">IF(P135="","",_xlfn.XLOOKUP(TRIM(P135),Metallic_Radius_Table!A:A,Metallic_Radius_Table!B:B))</f>
        <v>1.8</v>
      </c>
      <c r="R135" s="0" t="str">
        <f aca="false">IF(G135&gt;=1,   "Ferromagnetic / Ferrimagnetic",   IF(G135&gt;=0.05,      "Paramagnetic / Weakly magnetic",      "Antiferromagnetic / Diamagnetic"))</f>
        <v>Ferromagnetic / Ferrimagnetic</v>
      </c>
      <c r="U135" s="0" t="str">
        <f aca="false">IF(G135&gt;=1,
   "FM → PM (Curie-type)",
   IF(G135&lt;0.05,
      "AFM → PM (Néel-type)",
      "No long-range magnetic transition"))</f>
        <v>FM → PM (Curie-type)</v>
      </c>
    </row>
    <row r="136" customFormat="false" ht="13.8" hidden="false" customHeight="false" outlineLevel="0" collapsed="false">
      <c r="A136" s="0" t="s">
        <v>1201</v>
      </c>
      <c r="B136" s="0" t="s">
        <v>1202</v>
      </c>
      <c r="C136" s="0" t="s">
        <v>1203</v>
      </c>
      <c r="D136" s="0" t="n">
        <v>-2.94562001984374</v>
      </c>
      <c r="E136" s="0" t="n">
        <v>0.07827656381836</v>
      </c>
      <c r="F136" s="0" t="n">
        <v>0.615499999999999</v>
      </c>
      <c r="G136" s="0" t="n">
        <v>0.0007773</v>
      </c>
      <c r="H136" s="0" t="s">
        <v>1044</v>
      </c>
      <c r="I136" s="2" t="b">
        <f aca="false">TRUE()</f>
        <v>1</v>
      </c>
      <c r="J136" s="0" t="str">
        <f aca="false">IF(AND(CODE(MID(B136,2,1))&gt;=97,CODE(MID(B136,2,1))&lt;=122),LEFT(B136,2),LEFT(B136,1))</f>
        <v>Y</v>
      </c>
      <c r="K136" s="0" t="n">
        <f aca="false">IF(J136="","",_xlfn.XLOOKUP(TRIM(J136),Metallic_Radius_Table!A:A,Metallic_Radius_Table!B:B))</f>
        <v>1.8</v>
      </c>
      <c r="L136" s="0" t="str">
        <f aca="false">IF(ISNUMBER(SEARCH("La",B136)),"La",
 IF(ISNUMBER(SEARCH("Nd",B136)),"Nd",
 IF(ISNUMBER(SEARCH("Eu",B136)),"Eu",
 IF(ISNUMBER(SEARCH("Gd",B136)),"Gd",""))))</f>
        <v/>
      </c>
      <c r="M136" s="0" t="str">
        <f aca="false">IF(L136="","",_xlfn.XLOOKUP(TRIM(L136),Metallic_Radius_Table!A:A,Metallic_Radius_Table!B:B))</f>
        <v/>
      </c>
      <c r="N136" s="0" t="str">
        <f aca="false">TRIM(LEFT(C136,FIND(",",C136)-1))</f>
        <v>Cd</v>
      </c>
      <c r="O136" s="3" t="n">
        <f aca="false">IF(N136="","",_xlfn.XLOOKUP(TRIM(N136),Metallic_Radius_Table!A:A,Metallic_Radius_Table!B:B))</f>
        <v>1.58</v>
      </c>
      <c r="P136" s="0" t="str">
        <f aca="false">TRIM(MID(C136,FIND(",",C136)+1,5))</f>
        <v>Y</v>
      </c>
      <c r="Q136" s="0" t="n">
        <f aca="false">IF(P136="","",_xlfn.XLOOKUP(TRIM(P136),Metallic_Radius_Table!A:A,Metallic_Radius_Table!B:B))</f>
        <v>1.8</v>
      </c>
      <c r="R136" s="0" t="str">
        <f aca="false">IF(G136&gt;=1,   "Ferromagnetic / Ferrimagnetic",   IF(G136&gt;=0.05,      "Paramagnetic / Weakly magnetic",      "Antiferromagnetic / Diamagnetic"))</f>
        <v>Antiferromagnetic / Diamagnetic</v>
      </c>
      <c r="U136" s="0" t="str">
        <f aca="false">IF(G136&gt;=1,
   "FM → PM (Curie-type)",
   IF(G136&lt;0.05,
      "AFM → PM (Néel-type)",
      "No long-range magnetic transition"))</f>
        <v>AFM → PM (Néel-type)</v>
      </c>
    </row>
    <row r="137" customFormat="false" ht="13.8" hidden="false" customHeight="false" outlineLevel="0" collapsed="false">
      <c r="A137" s="0" t="s">
        <v>1204</v>
      </c>
      <c r="B137" s="0" t="s">
        <v>1202</v>
      </c>
      <c r="C137" s="0" t="s">
        <v>1203</v>
      </c>
      <c r="D137" s="0" t="n">
        <v>-2.9418404684375</v>
      </c>
      <c r="E137" s="0" t="n">
        <v>0.082056115224609</v>
      </c>
      <c r="F137" s="0" t="n">
        <v>0</v>
      </c>
      <c r="G137" s="0" t="n">
        <v>0.014229499999999</v>
      </c>
      <c r="H137" s="0" t="s">
        <v>1044</v>
      </c>
      <c r="I137" s="2" t="b">
        <f aca="false">TRUE()</f>
        <v>1</v>
      </c>
      <c r="J137" s="0" t="str">
        <f aca="false">IF(AND(CODE(MID(B137,2,1))&gt;=97,CODE(MID(B137,2,1))&lt;=122),LEFT(B137,2),LEFT(B137,1))</f>
        <v>Y</v>
      </c>
      <c r="K137" s="0" t="n">
        <f aca="false">IF(J137="","",_xlfn.XLOOKUP(TRIM(J137),Metallic_Radius_Table!A:A,Metallic_Radius_Table!B:B))</f>
        <v>1.8</v>
      </c>
      <c r="L137" s="0" t="str">
        <f aca="false">IF(ISNUMBER(SEARCH("La",B137)),"La",
 IF(ISNUMBER(SEARCH("Nd",B137)),"Nd",
 IF(ISNUMBER(SEARCH("Eu",B137)),"Eu",
 IF(ISNUMBER(SEARCH("Gd",B137)),"Gd",""))))</f>
        <v/>
      </c>
      <c r="M137" s="0" t="str">
        <f aca="false">IF(L137="","",_xlfn.XLOOKUP(TRIM(L137),Metallic_Radius_Table!A:A,Metallic_Radius_Table!B:B))</f>
        <v/>
      </c>
      <c r="N137" s="0" t="str">
        <f aca="false">TRIM(LEFT(C137,FIND(",",C137)-1))</f>
        <v>Cd</v>
      </c>
      <c r="O137" s="3" t="n">
        <f aca="false">IF(N137="","",_xlfn.XLOOKUP(TRIM(N137),Metallic_Radius_Table!A:A,Metallic_Radius_Table!B:B))</f>
        <v>1.58</v>
      </c>
      <c r="P137" s="0" t="str">
        <f aca="false">TRIM(MID(C137,FIND(",",C137)+1,5))</f>
        <v>Y</v>
      </c>
      <c r="Q137" s="0" t="n">
        <f aca="false">IF(P137="","",_xlfn.XLOOKUP(TRIM(P137),Metallic_Radius_Table!A:A,Metallic_Radius_Table!B:B))</f>
        <v>1.8</v>
      </c>
      <c r="R137" s="0" t="str">
        <f aca="false">IF(G137&gt;=1,   "Ferromagnetic / Ferrimagnetic",   IF(G137&gt;=0.05,      "Paramagnetic / Weakly magnetic",      "Antiferromagnetic / Diamagnetic"))</f>
        <v>Antiferromagnetic / Diamagnetic</v>
      </c>
      <c r="U137" s="0" t="str">
        <f aca="false">IF(G137&gt;=1,
   "FM → PM (Curie-type)",
   IF(G137&lt;0.05,
      "AFM → PM (Néel-type)",
      "No long-range magnetic transition"))</f>
        <v>AFM → PM (Néel-type)</v>
      </c>
    </row>
    <row r="138" customFormat="false" ht="13.8" hidden="false" customHeight="false" outlineLevel="0" collapsed="false">
      <c r="A138" s="0" t="s">
        <v>1205</v>
      </c>
      <c r="B138" s="0" t="s">
        <v>1206</v>
      </c>
      <c r="C138" s="0" t="s">
        <v>996</v>
      </c>
      <c r="D138" s="0" t="n">
        <v>-2.9739356809375</v>
      </c>
      <c r="E138" s="0" t="n">
        <v>0.048799649580078</v>
      </c>
      <c r="F138" s="0" t="n">
        <v>1.0697</v>
      </c>
      <c r="G138" s="0" t="n">
        <v>2.0091269</v>
      </c>
      <c r="H138" s="0" t="s">
        <v>1044</v>
      </c>
      <c r="I138" s="2" t="b">
        <f aca="false">TRUE()</f>
        <v>1</v>
      </c>
      <c r="J138" s="0" t="str">
        <f aca="false">IF(AND(CODE(MID(B138,2,1))&gt;=97,CODE(MID(B138,2,1))&lt;=122),LEFT(B138,2),LEFT(B138,1))</f>
        <v>Y</v>
      </c>
      <c r="K138" s="0" t="n">
        <f aca="false">IF(J138="","",_xlfn.XLOOKUP(TRIM(J138),Metallic_Radius_Table!A:A,Metallic_Radius_Table!B:B))</f>
        <v>1.8</v>
      </c>
      <c r="L138" s="0" t="str">
        <f aca="false">IF(ISNUMBER(SEARCH("La",B138)),"La",
 IF(ISNUMBER(SEARCH("Nd",B138)),"Nd",
 IF(ISNUMBER(SEARCH("Eu",B138)),"Eu",
 IF(ISNUMBER(SEARCH("Gd",B138)),"Gd",""))))</f>
        <v/>
      </c>
      <c r="M138" s="0" t="str">
        <f aca="false">IF(L138="","",_xlfn.XLOOKUP(TRIM(L138),Metallic_Radius_Table!A:A,Metallic_Radius_Table!B:B))</f>
        <v/>
      </c>
      <c r="N138" s="0" t="str">
        <f aca="false">TRIM(LEFT(C138,FIND(",",C138)-1))</f>
        <v>Co</v>
      </c>
      <c r="O138" s="3" t="n">
        <f aca="false">IF(N138="","",_xlfn.XLOOKUP(TRIM(N138),Metallic_Radius_Table!A:A,Metallic_Radius_Table!B:B))</f>
        <v>1.25</v>
      </c>
      <c r="P138" s="0" t="str">
        <f aca="false">TRIM(MID(C138,FIND(",",C138)+1,5))</f>
        <v>Y</v>
      </c>
      <c r="Q138" s="0" t="n">
        <f aca="false">IF(P138="","",_xlfn.XLOOKUP(TRIM(P138),Metallic_Radius_Table!A:A,Metallic_Radius_Table!B:B))</f>
        <v>1.8</v>
      </c>
      <c r="R138" s="0" t="str">
        <f aca="false">IF(G138&gt;=1,   "Ferromagnetic / Ferrimagnetic",   IF(G138&gt;=0.05,      "Paramagnetic / Weakly magnetic",      "Antiferromagnetic / Diamagnetic"))</f>
        <v>Ferromagnetic / Ferrimagnetic</v>
      </c>
      <c r="U138" s="0" t="str">
        <f aca="false">IF(G138&gt;=1,
   "FM → PM (Curie-type)",
   IF(G138&lt;0.05,
      "AFM → PM (Néel-type)",
      "No long-range magnetic transition"))</f>
        <v>FM → PM (Curie-type)</v>
      </c>
    </row>
    <row r="139" customFormat="false" ht="13.8" hidden="false" customHeight="false" outlineLevel="0" collapsed="false">
      <c r="A139" s="0" t="s">
        <v>1207</v>
      </c>
      <c r="B139" s="0" t="s">
        <v>1206</v>
      </c>
      <c r="C139" s="0" t="s">
        <v>996</v>
      </c>
      <c r="D139" s="0" t="n">
        <v>-2.97210054078125</v>
      </c>
      <c r="E139" s="0" t="n">
        <v>0.050634789736328</v>
      </c>
      <c r="F139" s="0" t="n">
        <v>0.9784</v>
      </c>
      <c r="G139" s="0" t="n">
        <v>2.0126722</v>
      </c>
      <c r="H139" s="0" t="s">
        <v>1044</v>
      </c>
      <c r="I139" s="2" t="b">
        <f aca="false">TRUE()</f>
        <v>1</v>
      </c>
      <c r="J139" s="0" t="str">
        <f aca="false">IF(AND(CODE(MID(B139,2,1))&gt;=97,CODE(MID(B139,2,1))&lt;=122),LEFT(B139,2),LEFT(B139,1))</f>
        <v>Y</v>
      </c>
      <c r="K139" s="0" t="n">
        <f aca="false">IF(J139="","",_xlfn.XLOOKUP(TRIM(J139),Metallic_Radius_Table!A:A,Metallic_Radius_Table!B:B))</f>
        <v>1.8</v>
      </c>
      <c r="L139" s="0" t="str">
        <f aca="false">IF(ISNUMBER(SEARCH("La",B139)),"La",
 IF(ISNUMBER(SEARCH("Nd",B139)),"Nd",
 IF(ISNUMBER(SEARCH("Eu",B139)),"Eu",
 IF(ISNUMBER(SEARCH("Gd",B139)),"Gd",""))))</f>
        <v/>
      </c>
      <c r="M139" s="0" t="str">
        <f aca="false">IF(L139="","",_xlfn.XLOOKUP(TRIM(L139),Metallic_Radius_Table!A:A,Metallic_Radius_Table!B:B))</f>
        <v/>
      </c>
      <c r="N139" s="0" t="str">
        <f aca="false">TRIM(LEFT(C139,FIND(",",C139)-1))</f>
        <v>Co</v>
      </c>
      <c r="O139" s="3" t="n">
        <f aca="false">IF(N139="","",_xlfn.XLOOKUP(TRIM(N139),Metallic_Radius_Table!A:A,Metallic_Radius_Table!B:B))</f>
        <v>1.25</v>
      </c>
      <c r="P139" s="0" t="str">
        <f aca="false">TRIM(MID(C139,FIND(",",C139)+1,5))</f>
        <v>Y</v>
      </c>
      <c r="Q139" s="0" t="n">
        <f aca="false">IF(P139="","",_xlfn.XLOOKUP(TRIM(P139),Metallic_Radius_Table!A:A,Metallic_Radius_Table!B:B))</f>
        <v>1.8</v>
      </c>
      <c r="R139" s="0" t="str">
        <f aca="false">IF(G139&gt;=1,   "Ferromagnetic / Ferrimagnetic",   IF(G139&gt;=0.05,      "Paramagnetic / Weakly magnetic",      "Antiferromagnetic / Diamagnetic"))</f>
        <v>Ferromagnetic / Ferrimagnetic</v>
      </c>
      <c r="U139" s="0" t="str">
        <f aca="false">IF(G139&gt;=1,
   "FM → PM (Curie-type)",
   IF(G139&lt;0.05,
      "AFM → PM (Néel-type)",
      "No long-range magnetic transition"))</f>
        <v>FM → PM (Curie-type)</v>
      </c>
    </row>
    <row r="140" customFormat="false" ht="13.8" hidden="false" customHeight="false" outlineLevel="0" collapsed="false">
      <c r="A140" s="0" t="s">
        <v>1208</v>
      </c>
      <c r="B140" s="0" t="s">
        <v>1209</v>
      </c>
      <c r="C140" s="0" t="s">
        <v>917</v>
      </c>
      <c r="D140" s="0" t="n">
        <v>-2.9647390896875</v>
      </c>
      <c r="E140" s="0" t="n">
        <v>0.070222298037104</v>
      </c>
      <c r="F140" s="0" t="n">
        <v>0</v>
      </c>
      <c r="G140" s="0" t="n">
        <v>4.8540902</v>
      </c>
      <c r="H140" s="0" t="s">
        <v>1044</v>
      </c>
      <c r="I140" s="2" t="b">
        <f aca="false">TRUE()</f>
        <v>1</v>
      </c>
      <c r="J140" s="0" t="str">
        <f aca="false">IF(AND(CODE(MID(B140,2,1))&gt;=97,CODE(MID(B140,2,1))&lt;=122),LEFT(B140,2),LEFT(B140,1))</f>
        <v>Y</v>
      </c>
      <c r="K140" s="0" t="n">
        <f aca="false">IF(J140="","",_xlfn.XLOOKUP(TRIM(J140),Metallic_Radius_Table!A:A,Metallic_Radius_Table!B:B))</f>
        <v>1.8</v>
      </c>
      <c r="L140" s="0" t="str">
        <f aca="false">IF(ISNUMBER(SEARCH("La",B140)),"La",
 IF(ISNUMBER(SEARCH("Nd",B140)),"Nd",
 IF(ISNUMBER(SEARCH("Eu",B140)),"Eu",
 IF(ISNUMBER(SEARCH("Gd",B140)),"Gd",""))))</f>
        <v/>
      </c>
      <c r="M140" s="0" t="str">
        <f aca="false">IF(L140="","",_xlfn.XLOOKUP(TRIM(L140),Metallic_Radius_Table!A:A,Metallic_Radius_Table!B:B))</f>
        <v/>
      </c>
      <c r="N140" s="0" t="str">
        <f aca="false">TRIM(LEFT(C140,FIND(",",C140)-1))</f>
        <v>Cr</v>
      </c>
      <c r="O140" s="3" t="n">
        <f aca="false">IF(N140="","",_xlfn.XLOOKUP(TRIM(N140),Metallic_Radius_Table!A:A,Metallic_Radius_Table!B:B))</f>
        <v>1.28</v>
      </c>
      <c r="P140" s="0" t="str">
        <f aca="false">TRIM(MID(C140,FIND(",",C140)+1,5))</f>
        <v>Y</v>
      </c>
      <c r="Q140" s="0" t="n">
        <f aca="false">IF(P140="","",_xlfn.XLOOKUP(TRIM(P140),Metallic_Radius_Table!A:A,Metallic_Radius_Table!B:B))</f>
        <v>1.8</v>
      </c>
      <c r="R140" s="0" t="str">
        <f aca="false">IF(G140&gt;=1,   "Ferromagnetic / Ferrimagnetic",   IF(G140&gt;=0.05,      "Paramagnetic / Weakly magnetic",      "Antiferromagnetic / Diamagnetic"))</f>
        <v>Ferromagnetic / Ferrimagnetic</v>
      </c>
      <c r="U140" s="0" t="str">
        <f aca="false">IF(G140&gt;=1,
   "FM → PM (Curie-type)",
   IF(G140&lt;0.05,
      "AFM → PM (Néel-type)",
      "No long-range magnetic transition"))</f>
        <v>FM → PM (Curie-type)</v>
      </c>
    </row>
    <row r="141" customFormat="false" ht="13.8" hidden="false" customHeight="false" outlineLevel="0" collapsed="false">
      <c r="A141" s="0" t="s">
        <v>1210</v>
      </c>
      <c r="B141" s="0" t="s">
        <v>1209</v>
      </c>
      <c r="C141" s="0" t="s">
        <v>917</v>
      </c>
      <c r="D141" s="0" t="n">
        <v>-2.96585491249999</v>
      </c>
      <c r="E141" s="0" t="n">
        <v>0.069106475224605</v>
      </c>
      <c r="F141" s="0" t="n">
        <v>0</v>
      </c>
      <c r="G141" s="0" t="n">
        <v>4.972929</v>
      </c>
      <c r="H141" s="0" t="s">
        <v>1044</v>
      </c>
      <c r="I141" s="2" t="b">
        <f aca="false">TRUE()</f>
        <v>1</v>
      </c>
      <c r="J141" s="0" t="str">
        <f aca="false">IF(AND(CODE(MID(B141,2,1))&gt;=97,CODE(MID(B141,2,1))&lt;=122),LEFT(B141,2),LEFT(B141,1))</f>
        <v>Y</v>
      </c>
      <c r="K141" s="0" t="n">
        <f aca="false">IF(J141="","",_xlfn.XLOOKUP(TRIM(J141),Metallic_Radius_Table!A:A,Metallic_Radius_Table!B:B))</f>
        <v>1.8</v>
      </c>
      <c r="L141" s="0" t="str">
        <f aca="false">IF(ISNUMBER(SEARCH("La",B141)),"La",
 IF(ISNUMBER(SEARCH("Nd",B141)),"Nd",
 IF(ISNUMBER(SEARCH("Eu",B141)),"Eu",
 IF(ISNUMBER(SEARCH("Gd",B141)),"Gd",""))))</f>
        <v/>
      </c>
      <c r="M141" s="0" t="str">
        <f aca="false">IF(L141="","",_xlfn.XLOOKUP(TRIM(L141),Metallic_Radius_Table!A:A,Metallic_Radius_Table!B:B))</f>
        <v/>
      </c>
      <c r="N141" s="0" t="str">
        <f aca="false">TRIM(LEFT(C141,FIND(",",C141)-1))</f>
        <v>Cr</v>
      </c>
      <c r="O141" s="3" t="n">
        <f aca="false">IF(N141="","",_xlfn.XLOOKUP(TRIM(N141),Metallic_Radius_Table!A:A,Metallic_Radius_Table!B:B))</f>
        <v>1.28</v>
      </c>
      <c r="P141" s="0" t="str">
        <f aca="false">TRIM(MID(C141,FIND(",",C141)+1,5))</f>
        <v>Y</v>
      </c>
      <c r="Q141" s="0" t="n">
        <f aca="false">IF(P141="","",_xlfn.XLOOKUP(TRIM(P141),Metallic_Radius_Table!A:A,Metallic_Radius_Table!B:B))</f>
        <v>1.8</v>
      </c>
      <c r="R141" s="0" t="str">
        <f aca="false">IF(G141&gt;=1,   "Ferromagnetic / Ferrimagnetic",   IF(G141&gt;=0.05,      "Paramagnetic / Weakly magnetic",      "Antiferromagnetic / Diamagnetic"))</f>
        <v>Ferromagnetic / Ferrimagnetic</v>
      </c>
      <c r="U141" s="0" t="str">
        <f aca="false">IF(G141&gt;=1,
   "FM → PM (Curie-type)",
   IF(G141&lt;0.05,
      "AFM → PM (Néel-type)",
      "No long-range magnetic transition"))</f>
        <v>FM → PM (Curie-type)</v>
      </c>
    </row>
    <row r="142" customFormat="false" ht="13.8" hidden="false" customHeight="false" outlineLevel="0" collapsed="false">
      <c r="A142" s="0" t="s">
        <v>1211</v>
      </c>
      <c r="B142" s="0" t="s">
        <v>1212</v>
      </c>
      <c r="C142" s="0" t="s">
        <v>1134</v>
      </c>
      <c r="D142" s="0" t="n">
        <v>-2.96292549062499</v>
      </c>
      <c r="E142" s="0" t="n">
        <v>0.059653847646484</v>
      </c>
      <c r="F142" s="0" t="n">
        <v>2.0776</v>
      </c>
      <c r="G142" s="0" t="n">
        <v>1.0000058</v>
      </c>
      <c r="H142" s="0" t="s">
        <v>1044</v>
      </c>
      <c r="I142" s="2" t="b">
        <f aca="false">TRUE()</f>
        <v>1</v>
      </c>
      <c r="J142" s="0" t="str">
        <f aca="false">IF(AND(CODE(MID(B142,2,1))&gt;=97,CODE(MID(B142,2,1))&lt;=122),LEFT(B142,2),LEFT(B142,1))</f>
        <v>Y</v>
      </c>
      <c r="K142" s="0" t="n">
        <f aca="false">IF(J142="","",_xlfn.XLOOKUP(TRIM(J142),Metallic_Radius_Table!A:A,Metallic_Radius_Table!B:B))</f>
        <v>1.8</v>
      </c>
      <c r="L142" s="0" t="str">
        <f aca="false">IF(ISNUMBER(SEARCH("La",B142)),"La",
 IF(ISNUMBER(SEARCH("Nd",B142)),"Nd",
 IF(ISNUMBER(SEARCH("Eu",B142)),"Eu",
 IF(ISNUMBER(SEARCH("Gd",B142)),"Gd",""))))</f>
        <v/>
      </c>
      <c r="M142" s="0" t="str">
        <f aca="false">IF(L142="","",_xlfn.XLOOKUP(TRIM(L142),Metallic_Radius_Table!A:A,Metallic_Radius_Table!B:B))</f>
        <v/>
      </c>
      <c r="N142" s="0" t="str">
        <f aca="false">TRIM(LEFT(C142,FIND(",",C142)-1))</f>
        <v>Ni</v>
      </c>
      <c r="O142" s="3" t="n">
        <f aca="false">IF(N142="","",_xlfn.XLOOKUP(TRIM(N142),Metallic_Radius_Table!A:A,Metallic_Radius_Table!B:B))</f>
        <v>1.24</v>
      </c>
      <c r="P142" s="0" t="str">
        <f aca="false">TRIM(MID(C142,FIND(",",C142)+1,5))</f>
        <v>Y</v>
      </c>
      <c r="Q142" s="0" t="n">
        <f aca="false">IF(P142="","",_xlfn.XLOOKUP(TRIM(P142),Metallic_Radius_Table!A:A,Metallic_Radius_Table!B:B))</f>
        <v>1.8</v>
      </c>
      <c r="R142" s="0" t="str">
        <f aca="false">IF(G142&gt;=1,   "Ferromagnetic / Ferrimagnetic",   IF(G142&gt;=0.05,      "Paramagnetic / Weakly magnetic",      "Antiferromagnetic / Diamagnetic"))</f>
        <v>Ferromagnetic / Ferrimagnetic</v>
      </c>
      <c r="U142" s="0" t="str">
        <f aca="false">IF(G142&gt;=1,
   "FM → PM (Curie-type)",
   IF(G142&lt;0.05,
      "AFM → PM (Néel-type)",
      "No long-range magnetic transition"))</f>
        <v>FM → PM (Curie-type)</v>
      </c>
    </row>
    <row r="143" customFormat="false" ht="13.8" hidden="false" customHeight="false" outlineLevel="0" collapsed="false">
      <c r="A143" s="0" t="s">
        <v>1213</v>
      </c>
      <c r="B143" s="0" t="s">
        <v>1212</v>
      </c>
      <c r="C143" s="0" t="s">
        <v>1134</v>
      </c>
      <c r="D143" s="0" t="n">
        <v>-2.96562619624999</v>
      </c>
      <c r="E143" s="0" t="n">
        <v>0.056953142021484</v>
      </c>
      <c r="F143" s="0" t="n">
        <v>1.1713</v>
      </c>
      <c r="G143" s="0" t="n">
        <v>0.9988163</v>
      </c>
      <c r="H143" s="0" t="s">
        <v>1044</v>
      </c>
      <c r="I143" s="2" t="b">
        <f aca="false">TRUE()</f>
        <v>1</v>
      </c>
      <c r="J143" s="0" t="str">
        <f aca="false">IF(AND(CODE(MID(B143,2,1))&gt;=97,CODE(MID(B143,2,1))&lt;=122),LEFT(B143,2),LEFT(B143,1))</f>
        <v>Y</v>
      </c>
      <c r="K143" s="0" t="n">
        <f aca="false">IF(J143="","",_xlfn.XLOOKUP(TRIM(J143),Metallic_Radius_Table!A:A,Metallic_Radius_Table!B:B))</f>
        <v>1.8</v>
      </c>
      <c r="L143" s="0" t="str">
        <f aca="false">IF(ISNUMBER(SEARCH("La",B143)),"La",
 IF(ISNUMBER(SEARCH("Nd",B143)),"Nd",
 IF(ISNUMBER(SEARCH("Eu",B143)),"Eu",
 IF(ISNUMBER(SEARCH("Gd",B143)),"Gd",""))))</f>
        <v/>
      </c>
      <c r="M143" s="0" t="str">
        <f aca="false">IF(L143="","",_xlfn.XLOOKUP(TRIM(L143),Metallic_Radius_Table!A:A,Metallic_Radius_Table!B:B))</f>
        <v/>
      </c>
      <c r="N143" s="0" t="str">
        <f aca="false">TRIM(LEFT(C143,FIND(",",C143)-1))</f>
        <v>Ni</v>
      </c>
      <c r="O143" s="3" t="n">
        <f aca="false">IF(N143="","",_xlfn.XLOOKUP(TRIM(N143),Metallic_Radius_Table!A:A,Metallic_Radius_Table!B:B))</f>
        <v>1.24</v>
      </c>
      <c r="P143" s="0" t="str">
        <f aca="false">TRIM(MID(C143,FIND(",",C143)+1,5))</f>
        <v>Y</v>
      </c>
      <c r="Q143" s="0" t="n">
        <f aca="false">IF(P143="","",_xlfn.XLOOKUP(TRIM(P143),Metallic_Radius_Table!A:A,Metallic_Radius_Table!B:B))</f>
        <v>1.8</v>
      </c>
      <c r="R143" s="0" t="str">
        <f aca="false">IF(G143&gt;=1,   "Ferromagnetic / Ferrimagnetic",   IF(G143&gt;=0.05,      "Paramagnetic / Weakly magnetic",      "Antiferromagnetic / Diamagnetic"))</f>
        <v>Paramagnetic / Weakly magnetic</v>
      </c>
      <c r="U143" s="0" t="str">
        <f aca="false">IF(G143&gt;=1,
   "FM → PM (Curie-type)",
   IF(G143&lt;0.05,
      "AFM → PM (Néel-type)",
      "No long-range magnetic transition"))</f>
        <v>No long-range magnetic transition</v>
      </c>
    </row>
    <row r="144" customFormat="false" ht="13.8" hidden="false" customHeight="false" outlineLevel="0" collapsed="false">
      <c r="A144" s="0" t="s">
        <v>1214</v>
      </c>
      <c r="B144" s="0" t="s">
        <v>1215</v>
      </c>
      <c r="C144" s="0" t="s">
        <v>1134</v>
      </c>
      <c r="D144" s="0" t="n">
        <v>-2.39528750766666</v>
      </c>
      <c r="E144" s="0" t="n">
        <v>0.070424734333334</v>
      </c>
      <c r="F144" s="0" t="n">
        <v>0.006499999999999</v>
      </c>
      <c r="G144" s="0" t="n">
        <v>6.0011188</v>
      </c>
      <c r="H144" s="0" t="s">
        <v>1189</v>
      </c>
      <c r="I144" s="2" t="b">
        <f aca="false">TRUE()</f>
        <v>1</v>
      </c>
      <c r="J144" s="0" t="str">
        <f aca="false">IF(AND(CODE(MID(B144,2,1))&gt;=97,CODE(MID(B144,2,1))&lt;=122),LEFT(B144,2),LEFT(B144,1))</f>
        <v>Y</v>
      </c>
      <c r="K144" s="0" t="n">
        <f aca="false">IF(J144="","",_xlfn.XLOOKUP(TRIM(J144),Metallic_Radius_Table!A:A,Metallic_Radius_Table!B:B))</f>
        <v>1.8</v>
      </c>
      <c r="L144" s="0" t="str">
        <f aca="false">IF(ISNUMBER(SEARCH("La",B144)),"La",
 IF(ISNUMBER(SEARCH("Nd",B144)),"Nd",
 IF(ISNUMBER(SEARCH("Eu",B144)),"Eu",
 IF(ISNUMBER(SEARCH("Gd",B144)),"Gd",""))))</f>
        <v/>
      </c>
      <c r="M144" s="0" t="str">
        <f aca="false">IF(L144="","",_xlfn.XLOOKUP(TRIM(L144),Metallic_Radius_Table!A:A,Metallic_Radius_Table!B:B))</f>
        <v/>
      </c>
      <c r="N144" s="0" t="str">
        <f aca="false">TRIM(LEFT(C144,FIND(",",C144)-1))</f>
        <v>Ni</v>
      </c>
      <c r="O144" s="3" t="n">
        <f aca="false">IF(N144="","",_xlfn.XLOOKUP(TRIM(N144),Metallic_Radius_Table!A:A,Metallic_Radius_Table!B:B))</f>
        <v>1.24</v>
      </c>
      <c r="P144" s="0" t="str">
        <f aca="false">TRIM(MID(C144,FIND(",",C144)+1,5))</f>
        <v>Y</v>
      </c>
      <c r="Q144" s="0" t="n">
        <f aca="false">IF(P144="","",_xlfn.XLOOKUP(TRIM(P144),Metallic_Radius_Table!A:A,Metallic_Radius_Table!B:B))</f>
        <v>1.8</v>
      </c>
      <c r="R144" s="0" t="str">
        <f aca="false">IF(G144&gt;=1,   "Ferromagnetic / Ferrimagnetic",   IF(G144&gt;=0.05,      "Paramagnetic / Weakly magnetic",      "Antiferromagnetic / Diamagnetic"))</f>
        <v>Ferromagnetic / Ferrimagnetic</v>
      </c>
      <c r="U144" s="0" t="str">
        <f aca="false">IF(G144&gt;=1,
   "FM → PM (Curie-type)",
   IF(G144&lt;0.05,
      "AFM → PM (Néel-type)",
      "No long-range magnetic transition"))</f>
        <v>FM → PM (Curie-type)</v>
      </c>
    </row>
    <row r="145" customFormat="false" ht="15" hidden="false" customHeight="true" outlineLevel="0" collapsed="false">
      <c r="A145" s="0" t="s">
        <v>1216</v>
      </c>
      <c r="B145" s="0" t="s">
        <v>1215</v>
      </c>
      <c r="C145" s="0" t="s">
        <v>1134</v>
      </c>
      <c r="D145" s="0" t="n">
        <v>-2.465712242</v>
      </c>
      <c r="E145" s="0" t="n">
        <v>0</v>
      </c>
      <c r="F145" s="0" t="n">
        <v>0</v>
      </c>
      <c r="G145" s="0" t="n">
        <v>3.9999993</v>
      </c>
      <c r="H145" s="0" t="s">
        <v>66</v>
      </c>
      <c r="I145" s="2" t="b">
        <f aca="false">TRUE()</f>
        <v>1</v>
      </c>
      <c r="J145" s="0" t="str">
        <f aca="false">IF(AND(CODE(MID(B145,2,1))&gt;=97,CODE(MID(B145,2,1))&lt;=122),LEFT(B145,2),LEFT(B145,1))</f>
        <v>Y</v>
      </c>
      <c r="K145" s="0" t="n">
        <f aca="false">IF(J145="","",_xlfn.XLOOKUP(TRIM(J145),Metallic_Radius_Table!A:A,Metallic_Radius_Table!B:B))</f>
        <v>1.8</v>
      </c>
      <c r="L145" s="0" t="str">
        <f aca="false">IF(ISNUMBER(SEARCH("La",B145)),"La",
 IF(ISNUMBER(SEARCH("Nd",B145)),"Nd",
 IF(ISNUMBER(SEARCH("Eu",B145)),"Eu",
 IF(ISNUMBER(SEARCH("Gd",B145)),"Gd",""))))</f>
        <v/>
      </c>
      <c r="M145" s="0" t="str">
        <f aca="false">IF(L145="","",_xlfn.XLOOKUP(TRIM(L145),Metallic_Radius_Table!A:A,Metallic_Radius_Table!B:B))</f>
        <v/>
      </c>
      <c r="N145" s="0" t="str">
        <f aca="false">TRIM(LEFT(C145,FIND(",",C145)-1))</f>
        <v>Ni</v>
      </c>
      <c r="O145" s="3" t="n">
        <f aca="false">IF(N145="","",_xlfn.XLOOKUP(TRIM(N145),Metallic_Radius_Table!A:A,Metallic_Radius_Table!B:B))</f>
        <v>1.24</v>
      </c>
      <c r="P145" s="0" t="str">
        <f aca="false">TRIM(MID(C145,FIND(",",C145)+1,5))</f>
        <v>Y</v>
      </c>
      <c r="Q145" s="0" t="n">
        <f aca="false">IF(P145="","",_xlfn.XLOOKUP(TRIM(P145),Metallic_Radius_Table!A:A,Metallic_Radius_Table!B:B))</f>
        <v>1.8</v>
      </c>
      <c r="R145" s="0" t="str">
        <f aca="false">IF(G145&gt;=1,   "Ferromagnetic / Ferrimagnetic",   IF(G145&gt;=0.05,      "Paramagnetic / Weakly magnetic",      "Antiferromagnetic / Diamagnetic"))</f>
        <v>Ferromagnetic / Ferrimagnetic</v>
      </c>
      <c r="U145" s="0" t="str">
        <f aca="false">IF(G145&gt;=1,
   "FM → PM (Curie-type)",
   IF(G145&lt;0.05,
      "AFM → PM (Néel-type)",
      "No long-range magnetic transition"))</f>
        <v>FM → PM (Curie-type)</v>
      </c>
    </row>
  </sheetData>
  <autoFilter ref="A1:L14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2.8" customHeight="false" zeroHeight="false" outlineLevelRow="0" outlineLevelCol="0"/>
  <sheetData>
    <row r="1" customFormat="false" ht="35.5" hidden="false" customHeight="false" outlineLevel="0" collapsed="false">
      <c r="A1" s="5" t="s">
        <v>1217</v>
      </c>
      <c r="B1" s="5" t="s">
        <v>1218</v>
      </c>
    </row>
    <row r="2" customFormat="false" ht="13.8" hidden="false" customHeight="false" outlineLevel="0" collapsed="false">
      <c r="A2" s="6" t="s">
        <v>1219</v>
      </c>
      <c r="B2" s="6" t="n">
        <v>1.97</v>
      </c>
    </row>
    <row r="3" customFormat="false" ht="13.8" hidden="false" customHeight="false" outlineLevel="0" collapsed="false">
      <c r="A3" s="6" t="s">
        <v>1220</v>
      </c>
      <c r="B3" s="6" t="n">
        <v>2.15</v>
      </c>
    </row>
    <row r="4" customFormat="false" ht="13.8" hidden="false" customHeight="false" outlineLevel="0" collapsed="false">
      <c r="A4" s="6" t="s">
        <v>1221</v>
      </c>
      <c r="B4" s="6" t="n">
        <v>2.17</v>
      </c>
    </row>
    <row r="5" customFormat="false" ht="13.8" hidden="false" customHeight="false" outlineLevel="0" collapsed="false">
      <c r="A5" s="6" t="s">
        <v>1222</v>
      </c>
      <c r="B5" s="6" t="n">
        <v>1.87</v>
      </c>
    </row>
    <row r="6" customFormat="false" ht="13.8" hidden="false" customHeight="false" outlineLevel="0" collapsed="false">
      <c r="A6" s="6" t="s">
        <v>1223</v>
      </c>
      <c r="B6" s="6" t="n">
        <v>1.25</v>
      </c>
    </row>
    <row r="7" customFormat="false" ht="13.8" hidden="false" customHeight="false" outlineLevel="0" collapsed="false">
      <c r="A7" s="6" t="s">
        <v>1224</v>
      </c>
      <c r="B7" s="6" t="n">
        <v>1.26</v>
      </c>
    </row>
    <row r="8" customFormat="false" ht="13.8" hidden="false" customHeight="false" outlineLevel="0" collapsed="false">
      <c r="A8" s="6" t="s">
        <v>910</v>
      </c>
      <c r="B8" s="6" t="n">
        <v>1.27</v>
      </c>
    </row>
    <row r="9" customFormat="false" ht="13.8" hidden="false" customHeight="false" outlineLevel="0" collapsed="false">
      <c r="A9" s="6" t="s">
        <v>1225</v>
      </c>
      <c r="B9" s="6" t="n">
        <v>1.28</v>
      </c>
    </row>
    <row r="10" customFormat="false" ht="13.8" hidden="false" customHeight="false" outlineLevel="0" collapsed="false">
      <c r="A10" s="6" t="s">
        <v>914</v>
      </c>
      <c r="B10" s="6" t="n">
        <v>1.24</v>
      </c>
    </row>
    <row r="11" customFormat="false" ht="13.8" hidden="false" customHeight="false" outlineLevel="0" collapsed="false">
      <c r="A11" s="6" t="s">
        <v>1226</v>
      </c>
      <c r="B11" s="6" t="n">
        <v>1.39</v>
      </c>
    </row>
    <row r="12" customFormat="false" ht="13.8" hidden="false" customHeight="false" outlineLevel="0" collapsed="false">
      <c r="A12" s="6" t="s">
        <v>1227</v>
      </c>
      <c r="B12" s="6" t="n">
        <v>1.41</v>
      </c>
    </row>
    <row r="13" customFormat="false" ht="13.8" hidden="false" customHeight="false" outlineLevel="0" collapsed="false">
      <c r="A13" s="6" t="s">
        <v>1228</v>
      </c>
      <c r="B13" s="6" t="n">
        <v>1.37</v>
      </c>
    </row>
    <row r="14" customFormat="false" ht="13.8" hidden="false" customHeight="false" outlineLevel="0" collapsed="false">
      <c r="A14" s="6" t="s">
        <v>1229</v>
      </c>
      <c r="B14" s="6" t="n">
        <v>1.34</v>
      </c>
    </row>
    <row r="15" customFormat="false" ht="13.8" hidden="false" customHeight="false" outlineLevel="0" collapsed="false">
      <c r="A15" s="6" t="s">
        <v>206</v>
      </c>
      <c r="B15" s="6" t="n">
        <v>1.46</v>
      </c>
    </row>
    <row r="16" customFormat="false" ht="13.8" hidden="false" customHeight="false" outlineLevel="0" collapsed="false">
      <c r="A16" s="6" t="s">
        <v>1230</v>
      </c>
      <c r="B16" s="6" t="n">
        <v>1.46</v>
      </c>
    </row>
    <row r="17" customFormat="false" ht="13.8" hidden="false" customHeight="false" outlineLevel="0" collapsed="false">
      <c r="A17" s="6" t="s">
        <v>1231</v>
      </c>
      <c r="B17" s="6" t="n">
        <v>1.34</v>
      </c>
    </row>
    <row r="18" customFormat="false" ht="13.8" hidden="false" customHeight="false" outlineLevel="0" collapsed="false">
      <c r="A18" s="6" t="s">
        <v>1232</v>
      </c>
      <c r="B18" s="6" t="n">
        <v>1.36</v>
      </c>
    </row>
    <row r="19" customFormat="false" ht="13.8" hidden="false" customHeight="false" outlineLevel="0" collapsed="false">
      <c r="A19" s="6" t="s">
        <v>1233</v>
      </c>
      <c r="B19" s="6" t="n">
        <v>1.35</v>
      </c>
    </row>
    <row r="20" customFormat="false" ht="13.8" hidden="false" customHeight="false" outlineLevel="0" collapsed="false">
      <c r="A20" s="6" t="s">
        <v>1234</v>
      </c>
      <c r="B20" s="6" t="n">
        <v>1.8</v>
      </c>
    </row>
    <row r="21" customFormat="false" ht="13.8" hidden="false" customHeight="false" outlineLevel="0" collapsed="false">
      <c r="A21" s="6" t="s">
        <v>1235</v>
      </c>
      <c r="B21" s="6" t="n">
        <v>1.82</v>
      </c>
    </row>
    <row r="22" customFormat="false" ht="13.8" hidden="false" customHeight="false" outlineLevel="0" collapsed="false">
      <c r="A22" s="6" t="s">
        <v>1236</v>
      </c>
      <c r="B22" s="6" t="n">
        <v>1.99</v>
      </c>
    </row>
    <row r="23" customFormat="false" ht="13.8" hidden="false" customHeight="false" outlineLevel="0" collapsed="false">
      <c r="A23" s="6" t="s">
        <v>1237</v>
      </c>
      <c r="B23" s="6" t="n">
        <v>1.8</v>
      </c>
    </row>
    <row r="24" customFormat="false" ht="13.8" hidden="false" customHeight="false" outlineLevel="0" collapsed="false">
      <c r="A24" s="6" t="s">
        <v>1238</v>
      </c>
      <c r="B24" s="6" t="n">
        <v>1.78</v>
      </c>
    </row>
    <row r="25" customFormat="false" ht="13.8" hidden="false" customHeight="false" outlineLevel="0" collapsed="false">
      <c r="A25" s="6" t="s">
        <v>1239</v>
      </c>
      <c r="B25" s="6" t="n">
        <v>1.74</v>
      </c>
    </row>
    <row r="26" customFormat="false" ht="13.8" hidden="false" customHeight="false" outlineLevel="0" collapsed="false">
      <c r="A26" s="6" t="s">
        <v>1240</v>
      </c>
      <c r="B26" s="6" t="n">
        <v>1.52</v>
      </c>
    </row>
    <row r="27" customFormat="false" ht="13.8" hidden="false" customHeight="false" outlineLevel="0" collapsed="false">
      <c r="A27" s="6" t="s">
        <v>1241</v>
      </c>
      <c r="B27" s="6" t="n">
        <v>1.86</v>
      </c>
    </row>
    <row r="28" customFormat="false" ht="13.8" hidden="false" customHeight="false" outlineLevel="0" collapsed="false">
      <c r="A28" s="6" t="s">
        <v>1242</v>
      </c>
      <c r="B28" s="6" t="n">
        <v>2.27</v>
      </c>
    </row>
    <row r="29" customFormat="false" ht="13.8" hidden="false" customHeight="false" outlineLevel="0" collapsed="false">
      <c r="A29" s="6" t="s">
        <v>1243</v>
      </c>
      <c r="B29" s="6" t="n">
        <v>2.48</v>
      </c>
    </row>
    <row r="30" customFormat="false" ht="13.8" hidden="false" customHeight="false" outlineLevel="0" collapsed="false">
      <c r="A30" s="6" t="s">
        <v>1035</v>
      </c>
      <c r="B30" s="6" t="n">
        <v>1.47</v>
      </c>
    </row>
    <row r="31" customFormat="false" ht="13.8" hidden="false" customHeight="false" outlineLevel="0" collapsed="false">
      <c r="A31" s="6" t="s">
        <v>206</v>
      </c>
      <c r="B31" s="6" t="n">
        <v>1.46</v>
      </c>
    </row>
    <row r="32" customFormat="false" ht="13.8" hidden="false" customHeight="false" outlineLevel="0" collapsed="false">
      <c r="A32" s="6" t="s">
        <v>1244</v>
      </c>
      <c r="B32" s="7" t="n">
        <v>1.59</v>
      </c>
      <c r="C32" s="8"/>
    </row>
    <row r="33" customFormat="false" ht="13.8" hidden="false" customHeight="false" outlineLevel="0" collapsed="false">
      <c r="A33" s="6" t="s">
        <v>1245</v>
      </c>
      <c r="B33" s="7" t="n">
        <v>1.6</v>
      </c>
      <c r="C33" s="8"/>
    </row>
    <row r="34" customFormat="false" ht="13.8" hidden="false" customHeight="false" outlineLevel="0" collapsed="false">
      <c r="A34" s="6" t="s">
        <v>1246</v>
      </c>
      <c r="B34" s="7" t="n">
        <v>1.58</v>
      </c>
      <c r="C34" s="8"/>
    </row>
    <row r="35" customFormat="false" ht="13.8" hidden="false" customHeight="false" outlineLevel="0" collapsed="false">
      <c r="A35" s="6" t="s">
        <v>1247</v>
      </c>
      <c r="B35" s="7" t="n">
        <v>1.36</v>
      </c>
      <c r="C35" s="8"/>
    </row>
    <row r="36" customFormat="false" ht="13.8" hidden="false" customHeight="false" outlineLevel="0" collapsed="false">
      <c r="A36" s="6" t="s">
        <v>1248</v>
      </c>
      <c r="B36" s="7" t="n">
        <v>1.34</v>
      </c>
      <c r="C36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2026-01-02T15:36:26Z</dcterms:created>
  <dc:creator>Meghneel Ghosh</dc:creator>
  <dc:description/>
  <dc:language>en-IN</dc:language>
  <cp:lastModifiedBy/>
  <cp:lastPrinted>2026-05-10T03:32:52Z</cp:lastPrinted>
  <dcterms:modified xsi:type="dcterms:W3CDTF">2026-05-20T20:58:30Z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